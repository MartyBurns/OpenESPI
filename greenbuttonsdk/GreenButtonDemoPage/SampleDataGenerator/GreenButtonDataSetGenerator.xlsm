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835" yWindow="45" windowWidth="22740" windowHeight="12030" activeTab="1"/>
  </bookViews>
  <sheets>
    <sheet name="Overview" sheetId="2" r:id="rId1"/>
    <sheet name="EUIGenerator" sheetId="1" r:id="rId2"/>
    <sheet name="Computations" sheetId="3" r:id="rId3"/>
  </sheets>
  <functionGroups/>
  <definedNames>
    <definedName name="ADDITIONAL_CHARGES">EUIGenerator!$C$12</definedName>
    <definedName name="BATCH_INDEX">EUIGenerator!$B$16</definedName>
    <definedName name="BLOCK_DURATION">EUIGenerator!$C$6</definedName>
    <definedName name="CUSTOMER_TITLE">EUIGenerator!$B$13</definedName>
    <definedName name="CUSTOMER_URL">EUIGenerator!$B$20</definedName>
    <definedName name="DURATION_OF_BILLING_PERIOD">EUIGenerator!$C$5</definedName>
    <definedName name="END_OF_BILLING_PERIOD">EUIGenerator!$C$30</definedName>
    <definedName name="END_OF_SIMULATION">EUIGenerator!$C$8</definedName>
    <definedName name="INTERVAL_BLOCK_INDEX">EUIGenerator!$B$15</definedName>
    <definedName name="INTERVAL_DURATION">EUIGenerator!$C$7</definedName>
    <definedName name="METER_READING_INDEX">EUIGenerator!$B$17</definedName>
    <definedName name="MeterReadingIndex">EUIGenerator!$B$17</definedName>
    <definedName name="OUTPUT_FILENAME">EUIGenerator!$B$3</definedName>
    <definedName name="POWER_OF_TEN_MULTIPLIER">EUIGenerator!$B$11</definedName>
    <definedName name="READING_TYPE_INDEX">EUIGenerator!$B$18</definedName>
    <definedName name="SERVICE_KIND">EUIGenerator!$B$14</definedName>
    <definedName name="START_OF_BILLING_PERIOD">EUIGenerator!$C$4</definedName>
    <definedName name="START_USAGE_WEEKDAY">EUIGenerator!$G$46</definedName>
    <definedName name="TOTAL_COST_CURRENT_PERIOD">EUIGenerator!$C$27</definedName>
    <definedName name="TOTAL_COST_USAGE_BILLING_PERIOD">EUIGenerator!$C$24</definedName>
    <definedName name="TOTAL_USAGE_BILLING_PERIOD">EUIGenerator!$C$26</definedName>
    <definedName name="TOTAL_USAGE_CURRENT_PERIOD">EUIGenerator!$C$28</definedName>
    <definedName name="USAGE_POINT_INDEX">EUIGenerator!$B$19</definedName>
  </definedNames>
  <calcPr calcId="125725"/>
</workbook>
</file>

<file path=xl/calcChain.xml><?xml version="1.0" encoding="utf-8"?>
<calcChain xmlns="http://schemas.openxmlformats.org/spreadsheetml/2006/main">
  <c r="B30" i="1"/>
  <c r="D4"/>
  <c r="C30" l="1"/>
  <c r="B70"/>
  <c r="B28"/>
  <c r="B26"/>
  <c r="B27"/>
  <c r="B24"/>
  <c r="B25" s="1"/>
  <c r="C12"/>
  <c r="D10" i="3"/>
  <c r="D11"/>
  <c r="C7" i="1"/>
  <c r="E70"/>
  <c r="D70"/>
  <c r="B6" l="1"/>
  <c r="C6" s="1"/>
  <c r="C8"/>
  <c r="C4"/>
  <c r="B37" l="1"/>
  <c r="B36"/>
  <c r="C5"/>
  <c r="A1"/>
  <c r="C70"/>
  <c r="B40" s="1"/>
  <c r="B38"/>
  <c r="B41" l="1"/>
  <c r="B39"/>
  <c r="H69" l="1"/>
  <c r="J69" s="1"/>
  <c r="H64"/>
  <c r="J64" s="1"/>
  <c r="H52"/>
  <c r="J52" s="1"/>
  <c r="H56"/>
  <c r="J56" s="1"/>
  <c r="G64"/>
  <c r="I64" s="1"/>
  <c r="G48"/>
  <c r="I48" s="1"/>
  <c r="H60"/>
  <c r="J60" s="1"/>
  <c r="G68"/>
  <c r="I68" s="1"/>
  <c r="G52"/>
  <c r="I52" s="1"/>
  <c r="H48"/>
  <c r="J48" s="1"/>
  <c r="G56"/>
  <c r="I56" s="1"/>
  <c r="H68"/>
  <c r="J68" s="1"/>
  <c r="G60"/>
  <c r="I60" s="1"/>
  <c r="G59"/>
  <c r="I59" s="1"/>
  <c r="H51"/>
  <c r="J51" s="1"/>
  <c r="H67"/>
  <c r="J67" s="1"/>
  <c r="G58"/>
  <c r="I58" s="1"/>
  <c r="H50"/>
  <c r="J50" s="1"/>
  <c r="H66"/>
  <c r="J66" s="1"/>
  <c r="G61"/>
  <c r="I61" s="1"/>
  <c r="H53"/>
  <c r="J53" s="1"/>
  <c r="G55"/>
  <c r="I55" s="1"/>
  <c r="H47"/>
  <c r="J47" s="1"/>
  <c r="H63"/>
  <c r="J63" s="1"/>
  <c r="G54"/>
  <c r="I54" s="1"/>
  <c r="H46"/>
  <c r="J46" s="1"/>
  <c r="H62"/>
  <c r="J62" s="1"/>
  <c r="G57"/>
  <c r="I57" s="1"/>
  <c r="H49"/>
  <c r="J49" s="1"/>
  <c r="H65"/>
  <c r="J65" s="1"/>
  <c r="G51"/>
  <c r="I51" s="1"/>
  <c r="G67"/>
  <c r="I67" s="1"/>
  <c r="H59"/>
  <c r="J59" s="1"/>
  <c r="G66"/>
  <c r="I66" s="1"/>
  <c r="H58"/>
  <c r="J58" s="1"/>
  <c r="G69"/>
  <c r="I69" s="1"/>
  <c r="G47"/>
  <c r="I47" s="1"/>
  <c r="G63"/>
  <c r="I63" s="1"/>
  <c r="H55"/>
  <c r="J55" s="1"/>
  <c r="G46"/>
  <c r="I46" s="1"/>
  <c r="G62"/>
  <c r="I62" s="1"/>
  <c r="H54"/>
  <c r="J54" s="1"/>
  <c r="G49"/>
  <c r="I49" s="1"/>
  <c r="G65"/>
  <c r="I65" s="1"/>
  <c r="H57"/>
  <c r="J57" s="1"/>
  <c r="G50"/>
  <c r="I50" s="1"/>
  <c r="G53"/>
  <c r="I53" s="1"/>
  <c r="H61"/>
  <c r="J61" s="1"/>
  <c r="J70" l="1"/>
  <c r="B35" s="1"/>
  <c r="H70"/>
  <c r="B32" s="1"/>
  <c r="G70"/>
  <c r="B31" s="1"/>
  <c r="I70"/>
  <c r="B33" l="1"/>
  <c r="B34"/>
  <c r="C25" l="1"/>
</calcChain>
</file>

<file path=xl/sharedStrings.xml><?xml version="1.0" encoding="utf-8"?>
<sst xmlns="http://schemas.openxmlformats.org/spreadsheetml/2006/main" count="72" uniqueCount="65">
  <si>
    <t>Weekday</t>
  </si>
  <si>
    <t>Weekend</t>
  </si>
  <si>
    <t>Weighting</t>
  </si>
  <si>
    <t>Total</t>
  </si>
  <si>
    <t>Utility Bill - Flat rate power Charges, Hourly readings</t>
  </si>
  <si>
    <t>Cost</t>
  </si>
  <si>
    <t>UTC to date-time</t>
  </si>
  <si>
    <t>Date-time to UTC</t>
  </si>
  <si>
    <t>PC Time Seconds to datetime</t>
  </si>
  <si>
    <t>End of Simulation</t>
  </si>
  <si>
    <t>Total of Weekday weighting</t>
  </si>
  <si>
    <t>Total of Weekend Weighting</t>
  </si>
  <si>
    <t>Cost Weighting</t>
  </si>
  <si>
    <t>KWH per unit weight</t>
  </si>
  <si>
    <t xml:space="preserve">Usage </t>
  </si>
  <si>
    <t>Weekend Usage</t>
  </si>
  <si>
    <t>Week Consumption Usage</t>
  </si>
  <si>
    <t>Daily Usage</t>
  </si>
  <si>
    <t>Scaled Wh</t>
  </si>
  <si>
    <t>Green Button Data Simulator</t>
  </si>
  <si>
    <t>Version 0.7</t>
  </si>
  <si>
    <t>Author: Marty Burns</t>
  </si>
  <si>
    <t xml:space="preserve">This spreadsheet is designed to simulate consumption data to generate test cases for Green Button Data. </t>
  </si>
  <si>
    <t>To use this spreadsheet fill out the particulars in the "tan" areas. Then run the macro GenerateGreenButtonDataSet.</t>
  </si>
  <si>
    <t>Daily Cost</t>
  </si>
  <si>
    <t>Weekend Cost</t>
  </si>
  <si>
    <t>URL for Customer Data</t>
  </si>
  <si>
    <t>/User/9b6c7063</t>
  </si>
  <si>
    <t>38 Oak Place, Montclair, NJ 07042</t>
  </si>
  <si>
    <t>Information Setting</t>
  </si>
  <si>
    <t>Summary Results</t>
  </si>
  <si>
    <t>Weighting and Profile Results</t>
  </si>
  <si>
    <t>UsagePoint Index</t>
  </si>
  <si>
    <t>ReadingType Index</t>
  </si>
  <si>
    <t>MeterReading Index</t>
  </si>
  <si>
    <t>Interval Block Duration Secs</t>
  </si>
  <si>
    <t>Interval Duration Secs</t>
  </si>
  <si>
    <t>End of Billing Period</t>
  </si>
  <si>
    <t>Base Cost Per KWH (will be scaled by weights)</t>
  </si>
  <si>
    <t>Customer Title</t>
  </si>
  <si>
    <t>Service Kind</t>
  </si>
  <si>
    <t>01</t>
  </si>
  <si>
    <t>07</t>
  </si>
  <si>
    <t>Additional Charges On Bill Last Period</t>
  </si>
  <si>
    <t>Total Blocks</t>
  </si>
  <si>
    <t>Total Intervals</t>
  </si>
  <si>
    <t>Total Bill For Last Billing Period</t>
  </si>
  <si>
    <t>Variables in Simulation</t>
  </si>
  <si>
    <t>Total Cost Current Period</t>
  </si>
  <si>
    <t>Multiplier for Wh (power of 10 exponent) in Data</t>
  </si>
  <si>
    <t>Total Usage Current Period KWH</t>
  </si>
  <si>
    <t>Batch Index</t>
  </si>
  <si>
    <t>83e269c1</t>
  </si>
  <si>
    <t>Interval Block Index</t>
  </si>
  <si>
    <t>0173</t>
  </si>
  <si>
    <t>Start of last Billing Period</t>
  </si>
  <si>
    <t>Duration of Last Billing Period in Days</t>
  </si>
  <si>
    <t>Typical monthly usage (used for scaling)</t>
  </si>
  <si>
    <t>Total Cost Energy Last Billing Period</t>
  </si>
  <si>
    <t>Total Usage Last Billing Period KWH</t>
  </si>
  <si>
    <t>Time of Day for reference profiles</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</si>
  <si>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</si>
  <si>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Date: 12 Dec 2011</t>
  </si>
  <si>
    <t>Output file name</t>
  </si>
  <si>
    <t>temp.xml</t>
  </si>
</sst>
</file>

<file path=xl/styles.xml><?xml version="1.0" encoding="utf-8"?>
<styleSheet xmlns="http://schemas.openxmlformats.org/spreadsheetml/2006/main">
  <numFmts count="3">
    <numFmt numFmtId="8" formatCode="&quot;$&quot;#,##0.00_);[Red]\(&quot;$&quot;#,##0.00\)"/>
    <numFmt numFmtId="164" formatCode="[$-F400]h:mm:ss\ AM/PM"/>
    <numFmt numFmtId="165" formatCode="m/d/yy\ h:mm;@"/>
  </numFmts>
  <fonts count="8">
    <font>
      <sz val="11"/>
      <color theme="1"/>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sz val="11"/>
      <color rgb="FF000000"/>
      <name val="Calibri"/>
      <family val="2"/>
      <scheme val="minor"/>
    </font>
  </fonts>
  <fills count="7">
    <fill>
      <patternFill patternType="none"/>
    </fill>
    <fill>
      <patternFill patternType="gray125"/>
    </fill>
    <fill>
      <patternFill patternType="solid">
        <fgColor rgb="FFC6EFCE"/>
      </patternFill>
    </fill>
    <fill>
      <patternFill patternType="solid">
        <fgColor rgb="FFFFCC99"/>
      </patternFill>
    </fill>
    <fill>
      <patternFill patternType="solid">
        <fgColor rgb="FFF2F2F2"/>
      </patternFill>
    </fill>
    <fill>
      <patternFill patternType="solid">
        <fgColor theme="6"/>
      </patternFill>
    </fill>
    <fill>
      <patternFill patternType="solid">
        <fgColor theme="9" tint="0.79998168889431442"/>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rgb="FF7F7F7F"/>
      </left>
      <right style="thin">
        <color rgb="FF7F7F7F"/>
      </right>
      <top/>
      <bottom style="thin">
        <color rgb="FF7F7F7F"/>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164" fontId="0" fillId="0" borderId="0"/>
    <xf numFmtId="164" fontId="1" fillId="2" borderId="0" applyNumberFormat="0" applyBorder="0" applyAlignment="0" applyProtection="0"/>
    <xf numFmtId="164" fontId="2" fillId="3" borderId="1" applyNumberFormat="0" applyAlignment="0" applyProtection="0"/>
    <xf numFmtId="164" fontId="3" fillId="4" borderId="1" applyNumberFormat="0" applyAlignment="0" applyProtection="0"/>
    <xf numFmtId="164" fontId="5" fillId="5" borderId="0" applyNumberFormat="0" applyBorder="0" applyAlignment="0" applyProtection="0"/>
  </cellStyleXfs>
  <cellXfs count="46">
    <xf numFmtId="164" fontId="0" fillId="0" borderId="0" xfId="0"/>
    <xf numFmtId="1" fontId="0" fillId="0" borderId="0" xfId="0" applyNumberFormat="1"/>
    <xf numFmtId="8" fontId="0" fillId="0" borderId="0" xfId="0" applyNumberFormat="1"/>
    <xf numFmtId="164" fontId="0" fillId="0" borderId="2" xfId="0" applyBorder="1"/>
    <xf numFmtId="164" fontId="0" fillId="0" borderId="3" xfId="0" applyBorder="1"/>
    <xf numFmtId="165" fontId="2" fillId="3" borderId="1" xfId="2" applyNumberFormat="1"/>
    <xf numFmtId="1" fontId="1" fillId="2" borderId="4" xfId="1" applyNumberFormat="1" applyBorder="1"/>
    <xf numFmtId="164" fontId="0" fillId="0" borderId="5" xfId="0" applyBorder="1"/>
    <xf numFmtId="164" fontId="0" fillId="0" borderId="0" xfId="0" applyBorder="1"/>
    <xf numFmtId="164" fontId="2" fillId="3" borderId="6" xfId="2" applyBorder="1"/>
    <xf numFmtId="165" fontId="1" fillId="2" borderId="7" xfId="1" applyNumberFormat="1" applyBorder="1"/>
    <xf numFmtId="164" fontId="0" fillId="0" borderId="8" xfId="0" applyBorder="1"/>
    <xf numFmtId="164" fontId="0" fillId="0" borderId="9" xfId="0" applyBorder="1"/>
    <xf numFmtId="164" fontId="0" fillId="0" borderId="10" xfId="0" applyBorder="1"/>
    <xf numFmtId="164" fontId="0" fillId="0" borderId="0" xfId="0" applyAlignment="1">
      <alignment wrapText="1"/>
    </xf>
    <xf numFmtId="1" fontId="2" fillId="3" borderId="1" xfId="2" applyNumberFormat="1"/>
    <xf numFmtId="164" fontId="0" fillId="0" borderId="0" xfId="0" applyAlignment="1">
      <alignment vertical="top"/>
    </xf>
    <xf numFmtId="164" fontId="0" fillId="0" borderId="0" xfId="0" applyAlignment="1">
      <alignment vertical="top" wrapText="1"/>
    </xf>
    <xf numFmtId="164" fontId="4" fillId="5" borderId="0" xfId="4" applyFont="1"/>
    <xf numFmtId="164" fontId="6" fillId="5" borderId="0" xfId="4" applyFont="1" applyAlignment="1">
      <alignment wrapText="1"/>
    </xf>
    <xf numFmtId="1" fontId="3" fillId="4" borderId="1" xfId="3" applyNumberFormat="1"/>
    <xf numFmtId="0" fontId="0" fillId="0" borderId="0" xfId="0" applyNumberFormat="1"/>
    <xf numFmtId="1" fontId="2" fillId="0" borderId="1" xfId="2" applyNumberFormat="1" applyFill="1"/>
    <xf numFmtId="164" fontId="2" fillId="0" borderId="1" xfId="2" applyFill="1"/>
    <xf numFmtId="164" fontId="0" fillId="0" borderId="0" xfId="0" applyFill="1"/>
    <xf numFmtId="22" fontId="0" fillId="0" borderId="0" xfId="0" applyNumberFormat="1" applyAlignment="1">
      <alignment wrapText="1"/>
    </xf>
    <xf numFmtId="164" fontId="2" fillId="6" borderId="1" xfId="2" applyFill="1" applyAlignment="1">
      <alignment wrapText="1"/>
    </xf>
    <xf numFmtId="165" fontId="2" fillId="3" borderId="1" xfId="2" applyNumberFormat="1" applyAlignment="1">
      <alignment wrapText="1"/>
    </xf>
    <xf numFmtId="164" fontId="2" fillId="3" borderId="1" xfId="2" applyNumberFormat="1" applyAlignment="1">
      <alignment wrapText="1"/>
    </xf>
    <xf numFmtId="2" fontId="2" fillId="3" borderId="1" xfId="2" applyNumberFormat="1" applyAlignment="1">
      <alignment wrapText="1"/>
    </xf>
    <xf numFmtId="8" fontId="2" fillId="3" borderId="1" xfId="2" applyNumberFormat="1" applyAlignment="1">
      <alignment wrapText="1"/>
    </xf>
    <xf numFmtId="0" fontId="2" fillId="3" borderId="1" xfId="2" applyNumberFormat="1" applyAlignment="1">
      <alignment wrapText="1"/>
    </xf>
    <xf numFmtId="1" fontId="2" fillId="3" borderId="1" xfId="2" quotePrefix="1" applyNumberFormat="1" applyAlignment="1">
      <alignment horizontal="right" wrapText="1"/>
    </xf>
    <xf numFmtId="164" fontId="2" fillId="3" borderId="1" xfId="2" quotePrefix="1" applyNumberFormat="1" applyAlignment="1">
      <alignment horizontal="right" wrapText="1"/>
    </xf>
    <xf numFmtId="164" fontId="4" fillId="5" borderId="0" xfId="4" applyFont="1" applyAlignment="1">
      <alignment wrapText="1"/>
    </xf>
    <xf numFmtId="164" fontId="3" fillId="4" borderId="1" xfId="3" quotePrefix="1" applyAlignment="1">
      <alignment wrapText="1"/>
    </xf>
    <xf numFmtId="8" fontId="3" fillId="4" borderId="1" xfId="3" applyNumberFormat="1" applyAlignment="1">
      <alignment wrapText="1"/>
    </xf>
    <xf numFmtId="164" fontId="3" fillId="4" borderId="1" xfId="3" applyAlignment="1">
      <alignment wrapText="1"/>
    </xf>
    <xf numFmtId="164" fontId="3" fillId="4" borderId="1" xfId="3" applyNumberFormat="1" applyAlignment="1">
      <alignment wrapText="1"/>
    </xf>
    <xf numFmtId="8" fontId="0" fillId="0" borderId="0" xfId="0" applyNumberFormat="1" applyAlignment="1">
      <alignment wrapText="1"/>
    </xf>
    <xf numFmtId="164" fontId="0" fillId="0" borderId="0" xfId="0" applyNumberFormat="1" applyAlignment="1">
      <alignment wrapText="1"/>
    </xf>
    <xf numFmtId="1" fontId="2" fillId="3" borderId="1" xfId="2" applyNumberFormat="1" applyAlignment="1">
      <alignment wrapText="1"/>
    </xf>
    <xf numFmtId="1" fontId="0" fillId="0" borderId="0" xfId="0" applyNumberFormat="1" applyAlignment="1">
      <alignment wrapText="1"/>
    </xf>
    <xf numFmtId="165" fontId="2" fillId="0" borderId="1" xfId="2" applyNumberFormat="1" applyFill="1" applyAlignment="1">
      <alignment wrapText="1"/>
    </xf>
    <xf numFmtId="0" fontId="0" fillId="0" borderId="0" xfId="0" applyNumberFormat="1" applyAlignment="1">
      <alignment wrapText="1"/>
    </xf>
    <xf numFmtId="165" fontId="2" fillId="3" borderId="1" xfId="2" applyNumberFormat="1" applyAlignment="1">
      <alignment horizontal="right" wrapText="1"/>
    </xf>
  </cellXfs>
  <cellStyles count="5">
    <cellStyle name="Accent3" xfId="4" builtinId="37"/>
    <cellStyle name="Calculation" xfId="3" builtinId="22"/>
    <cellStyle name="Good" xfId="1" builtinId="26"/>
    <cellStyle name="Input" xfId="2" builtinId="2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2"/>
  <dimension ref="A1:A9"/>
  <sheetViews>
    <sheetView workbookViewId="0">
      <selection activeCell="A4" sqref="A4"/>
    </sheetView>
  </sheetViews>
  <sheetFormatPr defaultRowHeight="15"/>
  <cols>
    <col min="1" max="1" width="111.140625" style="14" customWidth="1"/>
  </cols>
  <sheetData>
    <row r="1" spans="1:1">
      <c r="A1" s="14" t="s">
        <v>19</v>
      </c>
    </row>
    <row r="2" spans="1:1">
      <c r="A2" s="14" t="s">
        <v>20</v>
      </c>
    </row>
    <row r="3" spans="1:1">
      <c r="A3" s="14" t="s">
        <v>62</v>
      </c>
    </row>
    <row r="4" spans="1:1">
      <c r="A4" s="14" t="s">
        <v>21</v>
      </c>
    </row>
    <row r="5" spans="1:1" s="16" customFormat="1">
      <c r="A5" s="17"/>
    </row>
    <row r="6" spans="1:1">
      <c r="A6" s="14" t="s">
        <v>22</v>
      </c>
    </row>
    <row r="7" spans="1:1">
      <c r="A7" s="14" t="s">
        <v>23</v>
      </c>
    </row>
    <row r="9" spans="1:1" ht="120">
      <c r="A9" s="14"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J70"/>
  <sheetViews>
    <sheetView tabSelected="1" workbookViewId="0">
      <pane ySplit="2" topLeftCell="A3" activePane="bottomLeft" state="frozen"/>
      <selection pane="bottomLeft" activeCell="B3" sqref="B3"/>
    </sheetView>
  </sheetViews>
  <sheetFormatPr defaultRowHeight="15"/>
  <cols>
    <col min="1" max="1" width="45.85546875" style="14" bestFit="1" customWidth="1"/>
    <col min="2" max="2" width="19.85546875" style="14" customWidth="1"/>
    <col min="3" max="3" width="24.7109375" customWidth="1"/>
    <col min="4" max="4" width="14" customWidth="1"/>
    <col min="5" max="5" width="30.7109375" customWidth="1"/>
    <col min="6" max="6" width="14.42578125" bestFit="1" customWidth="1"/>
    <col min="7" max="7" width="40.28515625" customWidth="1"/>
    <col min="8" max="8" width="15.5703125" customWidth="1"/>
    <col min="9" max="9" width="11.85546875" bestFit="1" customWidth="1"/>
    <col min="10" max="10" width="12.28515625" bestFit="1" customWidth="1"/>
    <col min="11" max="11" width="16.140625" bestFit="1" customWidth="1"/>
  </cols>
  <sheetData>
    <row r="1" spans="1:5" ht="74.25" customHeight="1">
      <c r="A1" s="25">
        <f ca="1">NOW()</f>
        <v>40924.41447708333</v>
      </c>
    </row>
    <row r="2" spans="1:5" ht="31.5">
      <c r="A2" s="19" t="s">
        <v>4</v>
      </c>
      <c r="B2" s="19" t="s">
        <v>29</v>
      </c>
      <c r="C2" s="19" t="s">
        <v>47</v>
      </c>
      <c r="D2" s="19"/>
      <c r="E2" s="19"/>
    </row>
    <row r="3" spans="1:5">
      <c r="A3" s="26" t="s">
        <v>63</v>
      </c>
      <c r="B3" s="45" t="s">
        <v>64</v>
      </c>
      <c r="C3" s="22"/>
      <c r="D3" s="1"/>
    </row>
    <row r="4" spans="1:5">
      <c r="A4" s="26" t="s">
        <v>55</v>
      </c>
      <c r="B4" s="27">
        <v>40787</v>
      </c>
      <c r="C4" s="22">
        <f>((B4-"1/1/1970")*60*60*24)</f>
        <v>1314835200</v>
      </c>
      <c r="D4" s="1">
        <f>B4+B5</f>
        <v>40817</v>
      </c>
    </row>
    <row r="5" spans="1:5">
      <c r="A5" s="26" t="s">
        <v>56</v>
      </c>
      <c r="B5" s="41">
        <v>30</v>
      </c>
      <c r="C5" s="22">
        <f>C30-C4</f>
        <v>2592000</v>
      </c>
      <c r="D5" s="1"/>
    </row>
    <row r="6" spans="1:5">
      <c r="A6" s="26" t="s">
        <v>35</v>
      </c>
      <c r="B6" s="41">
        <f>24*3600</f>
        <v>86400</v>
      </c>
      <c r="C6" s="22">
        <f>B6</f>
        <v>86400</v>
      </c>
      <c r="D6" s="1"/>
    </row>
    <row r="7" spans="1:5">
      <c r="A7" s="26" t="s">
        <v>36</v>
      </c>
      <c r="B7" s="41">
        <v>3600</v>
      </c>
      <c r="C7" s="22">
        <f>B7</f>
        <v>3600</v>
      </c>
      <c r="D7" s="1"/>
      <c r="E7" s="1"/>
    </row>
    <row r="8" spans="1:5">
      <c r="A8" s="26" t="s">
        <v>9</v>
      </c>
      <c r="B8" s="27">
        <v>40818.999988425923</v>
      </c>
      <c r="C8" s="22">
        <f>((B8-"1/1/1970")*60*60*24)</f>
        <v>1317599998.9999998</v>
      </c>
      <c r="D8" s="1"/>
      <c r="E8" s="1"/>
    </row>
    <row r="9" spans="1:5">
      <c r="A9" s="26" t="s">
        <v>57</v>
      </c>
      <c r="B9" s="29">
        <v>2070</v>
      </c>
      <c r="C9" s="23"/>
    </row>
    <row r="10" spans="1:5">
      <c r="A10" s="26" t="s">
        <v>38</v>
      </c>
      <c r="B10" s="30">
        <v>0.03</v>
      </c>
      <c r="C10" s="23"/>
    </row>
    <row r="11" spans="1:5">
      <c r="A11" s="26" t="s">
        <v>49</v>
      </c>
      <c r="B11" s="31">
        <v>0</v>
      </c>
      <c r="C11" s="24"/>
    </row>
    <row r="12" spans="1:5">
      <c r="A12" s="26" t="s">
        <v>43</v>
      </c>
      <c r="B12" s="30">
        <v>13.46</v>
      </c>
      <c r="C12" s="22">
        <f>B12*100000</f>
        <v>1346000</v>
      </c>
    </row>
    <row r="13" spans="1:5" ht="30">
      <c r="A13" s="26" t="s">
        <v>39</v>
      </c>
      <c r="B13" s="30" t="s">
        <v>28</v>
      </c>
      <c r="C13" s="23"/>
    </row>
    <row r="14" spans="1:5">
      <c r="A14" s="26" t="s">
        <v>40</v>
      </c>
      <c r="B14" s="32">
        <v>0</v>
      </c>
      <c r="C14" s="23"/>
    </row>
    <row r="15" spans="1:5">
      <c r="A15" s="26" t="s">
        <v>53</v>
      </c>
      <c r="B15" s="33" t="s">
        <v>54</v>
      </c>
      <c r="C15" s="23"/>
    </row>
    <row r="16" spans="1:5">
      <c r="A16" s="26" t="s">
        <v>51</v>
      </c>
      <c r="B16" s="33" t="s">
        <v>52</v>
      </c>
      <c r="C16" s="23"/>
    </row>
    <row r="17" spans="1:5">
      <c r="A17" s="26" t="s">
        <v>34</v>
      </c>
      <c r="B17" s="33" t="s">
        <v>41</v>
      </c>
      <c r="C17" s="23"/>
    </row>
    <row r="18" spans="1:5">
      <c r="A18" s="26" t="s">
        <v>33</v>
      </c>
      <c r="B18" s="33" t="s">
        <v>42</v>
      </c>
      <c r="C18" s="23"/>
    </row>
    <row r="19" spans="1:5">
      <c r="A19" s="26" t="s">
        <v>32</v>
      </c>
      <c r="B19" s="33" t="s">
        <v>41</v>
      </c>
      <c r="C19" s="23"/>
    </row>
    <row r="20" spans="1:5">
      <c r="A20" s="26" t="s">
        <v>26</v>
      </c>
      <c r="B20" s="28" t="s">
        <v>27</v>
      </c>
      <c r="C20" s="23"/>
    </row>
    <row r="23" spans="1:5">
      <c r="A23" s="34" t="s">
        <v>30</v>
      </c>
      <c r="B23" s="34"/>
      <c r="C23" s="18"/>
      <c r="D23" s="1"/>
      <c r="E23" s="1"/>
    </row>
    <row r="24" spans="1:5">
      <c r="A24" s="35" t="s">
        <v>58</v>
      </c>
      <c r="B24" s="36">
        <f>C24/100000</f>
        <v>239.33753999999999</v>
      </c>
      <c r="C24" s="20">
        <v>23933754</v>
      </c>
      <c r="D24" s="1"/>
      <c r="E24" s="1"/>
    </row>
    <row r="25" spans="1:5">
      <c r="A25" s="37" t="s">
        <v>46</v>
      </c>
      <c r="B25" s="36">
        <f>(B24+B12)</f>
        <v>252.79754</v>
      </c>
      <c r="C25" s="20">
        <f>B25*100000</f>
        <v>25279754</v>
      </c>
      <c r="D25" s="1"/>
      <c r="E25" s="1"/>
    </row>
    <row r="26" spans="1:5">
      <c r="A26" s="37" t="s">
        <v>59</v>
      </c>
      <c r="B26" s="38">
        <f>C26/10^(3-$B$11)</f>
        <v>2208.4140000000002</v>
      </c>
      <c r="C26" s="20">
        <v>2208414</v>
      </c>
      <c r="D26" s="1"/>
      <c r="E26" s="1"/>
    </row>
    <row r="27" spans="1:5">
      <c r="A27" s="37" t="s">
        <v>48</v>
      </c>
      <c r="B27" s="36">
        <f>C27/100000</f>
        <v>13.50882</v>
      </c>
      <c r="C27" s="20">
        <v>1350882</v>
      </c>
      <c r="D27" s="1"/>
      <c r="E27" s="1"/>
    </row>
    <row r="28" spans="1:5">
      <c r="A28" s="37" t="s">
        <v>50</v>
      </c>
      <c r="B28" s="38">
        <f>C28/10^(3-$B$11)</f>
        <v>172.22399999999999</v>
      </c>
      <c r="C28" s="20">
        <v>172224</v>
      </c>
      <c r="D28" s="1"/>
      <c r="E28" s="1"/>
    </row>
    <row r="29" spans="1:5">
      <c r="B29" s="39"/>
      <c r="C29" s="1"/>
      <c r="D29" s="1"/>
      <c r="E29" s="1"/>
    </row>
    <row r="30" spans="1:5">
      <c r="A30" s="14" t="s">
        <v>37</v>
      </c>
      <c r="B30" s="43">
        <f>B4+B5</f>
        <v>40817</v>
      </c>
      <c r="C30" s="21">
        <f>((B30-"1/1/1970")*60*60*24)</f>
        <v>1317427200</v>
      </c>
    </row>
    <row r="31" spans="1:5">
      <c r="A31" s="14" t="s">
        <v>17</v>
      </c>
      <c r="B31" s="42">
        <f>G70</f>
        <v>69069</v>
      </c>
    </row>
    <row r="32" spans="1:5">
      <c r="A32" s="14" t="s">
        <v>15</v>
      </c>
      <c r="B32" s="42">
        <f>H70</f>
        <v>86112</v>
      </c>
    </row>
    <row r="33" spans="1:10">
      <c r="A33" s="14" t="s">
        <v>16</v>
      </c>
      <c r="B33" s="42">
        <f>5*B31+2*B32</f>
        <v>517569</v>
      </c>
    </row>
    <row r="34" spans="1:10">
      <c r="A34" s="14" t="s">
        <v>24</v>
      </c>
      <c r="B34" s="39">
        <f>I70/100000</f>
        <v>8.4228299999999994</v>
      </c>
      <c r="C34" s="1"/>
      <c r="D34" s="1"/>
      <c r="E34" s="1"/>
    </row>
    <row r="35" spans="1:10">
      <c r="A35" s="14" t="s">
        <v>25</v>
      </c>
      <c r="B35" s="39">
        <f>J70/100000</f>
        <v>6.75441</v>
      </c>
      <c r="C35" s="1"/>
      <c r="D35" s="1"/>
      <c r="E35" s="1"/>
    </row>
    <row r="36" spans="1:10">
      <c r="A36" s="14" t="s">
        <v>44</v>
      </c>
      <c r="B36" s="44">
        <f>INT(0.5+(C8-C4)/C6)</f>
        <v>32</v>
      </c>
      <c r="C36" s="2"/>
      <c r="D36" s="2"/>
      <c r="E36" s="2"/>
    </row>
    <row r="37" spans="1:10">
      <c r="A37" s="14" t="s">
        <v>45</v>
      </c>
      <c r="B37" s="44">
        <f>INT(0.5+(C8-C4)/C7)</f>
        <v>768</v>
      </c>
      <c r="C37" s="2"/>
      <c r="D37" s="2"/>
      <c r="E37" s="2"/>
    </row>
    <row r="38" spans="1:10">
      <c r="A38" s="14" t="s">
        <v>10</v>
      </c>
      <c r="B38" s="44">
        <f>B70</f>
        <v>77</v>
      </c>
    </row>
    <row r="39" spans="1:10">
      <c r="A39" s="14" t="s">
        <v>11</v>
      </c>
      <c r="B39" s="44">
        <f>C70</f>
        <v>96</v>
      </c>
    </row>
    <row r="40" spans="1:10">
      <c r="A40" s="14" t="s">
        <v>13</v>
      </c>
      <c r="B40" s="44">
        <f>$B$9/(4*(5*B70+2*C70))</f>
        <v>0.89688041594454071</v>
      </c>
    </row>
    <row r="41" spans="1:10">
      <c r="A41" s="14" t="s">
        <v>18</v>
      </c>
      <c r="B41" s="44">
        <f>B40*10^(3-B11)</f>
        <v>896.88041594454069</v>
      </c>
    </row>
    <row r="43" spans="1:10">
      <c r="A43" s="34" t="s">
        <v>31</v>
      </c>
      <c r="B43" s="34"/>
      <c r="C43" s="18"/>
      <c r="D43" s="18"/>
      <c r="E43" s="18"/>
      <c r="F43" s="18"/>
      <c r="G43" s="18"/>
      <c r="H43" s="18"/>
      <c r="I43" s="18"/>
      <c r="J43" s="18"/>
    </row>
    <row r="44" spans="1:10">
      <c r="B44" s="14" t="s">
        <v>2</v>
      </c>
      <c r="D44" t="s">
        <v>12</v>
      </c>
      <c r="G44" t="s">
        <v>14</v>
      </c>
      <c r="I44" t="s">
        <v>5</v>
      </c>
    </row>
    <row r="45" spans="1:10">
      <c r="A45" s="14" t="s">
        <v>60</v>
      </c>
      <c r="B45" s="14" t="s">
        <v>0</v>
      </c>
      <c r="C45" t="s">
        <v>1</v>
      </c>
      <c r="D45" t="s">
        <v>0</v>
      </c>
      <c r="E45" t="s">
        <v>1</v>
      </c>
      <c r="G45" t="s">
        <v>0</v>
      </c>
      <c r="H45" t="s">
        <v>1</v>
      </c>
      <c r="I45" t="s">
        <v>0</v>
      </c>
      <c r="J45" t="s">
        <v>1</v>
      </c>
    </row>
    <row r="46" spans="1:10">
      <c r="A46" s="40">
        <v>0</v>
      </c>
      <c r="B46" s="41">
        <v>1</v>
      </c>
      <c r="C46" s="15">
        <v>1</v>
      </c>
      <c r="D46" s="15">
        <v>1</v>
      </c>
      <c r="E46" s="15">
        <v>1</v>
      </c>
      <c r="F46" s="1"/>
      <c r="G46" s="1">
        <f>CEILING($B$41*B46,1)</f>
        <v>897</v>
      </c>
      <c r="H46" s="1">
        <f>CEILING($B$41*C46,1)</f>
        <v>897</v>
      </c>
      <c r="I46" s="1">
        <f t="shared" ref="I46:I69" si="0">INT(G46*D46*$B$10*100000*10^($B$11-3))</f>
        <v>2691</v>
      </c>
      <c r="J46" s="1">
        <f t="shared" ref="J46:J69" si="1">INT(H46*E46*$B$10*100000*10^($B$11-3))</f>
        <v>2691</v>
      </c>
    </row>
    <row r="47" spans="1:10">
      <c r="A47" s="40">
        <v>4.1666666666666699E-2</v>
      </c>
      <c r="B47" s="41">
        <v>1</v>
      </c>
      <c r="C47" s="15">
        <v>1</v>
      </c>
      <c r="D47" s="15">
        <v>1</v>
      </c>
      <c r="E47" s="15">
        <v>1</v>
      </c>
      <c r="F47" s="1"/>
      <c r="G47" s="1">
        <f t="shared" ref="G47:G69" si="2">CEILING($B$41*B47,1)</f>
        <v>897</v>
      </c>
      <c r="H47" s="1">
        <f t="shared" ref="H47:H69" si="3">CEILING($B$41*C47,1)</f>
        <v>897</v>
      </c>
      <c r="I47" s="1">
        <f t="shared" si="0"/>
        <v>2691</v>
      </c>
      <c r="J47" s="1">
        <f t="shared" si="1"/>
        <v>2691</v>
      </c>
    </row>
    <row r="48" spans="1:10">
      <c r="A48" s="40">
        <v>8.3333333333333301E-2</v>
      </c>
      <c r="B48" s="41">
        <v>1</v>
      </c>
      <c r="C48" s="15">
        <v>1</v>
      </c>
      <c r="D48" s="15">
        <v>1</v>
      </c>
      <c r="E48" s="15">
        <v>1</v>
      </c>
      <c r="F48" s="1"/>
      <c r="G48" s="1">
        <f t="shared" si="2"/>
        <v>897</v>
      </c>
      <c r="H48" s="1">
        <f t="shared" si="3"/>
        <v>897</v>
      </c>
      <c r="I48" s="1">
        <f t="shared" si="0"/>
        <v>2691</v>
      </c>
      <c r="J48" s="1">
        <f t="shared" si="1"/>
        <v>2691</v>
      </c>
    </row>
    <row r="49" spans="1:10">
      <c r="A49" s="40">
        <v>0.125</v>
      </c>
      <c r="B49" s="41">
        <v>1</v>
      </c>
      <c r="C49" s="15">
        <v>1</v>
      </c>
      <c r="D49" s="15">
        <v>1</v>
      </c>
      <c r="E49" s="15">
        <v>1</v>
      </c>
      <c r="F49" s="1"/>
      <c r="G49" s="1">
        <f t="shared" si="2"/>
        <v>897</v>
      </c>
      <c r="H49" s="1">
        <f t="shared" si="3"/>
        <v>897</v>
      </c>
      <c r="I49" s="1">
        <f t="shared" si="0"/>
        <v>2691</v>
      </c>
      <c r="J49" s="1">
        <f t="shared" si="1"/>
        <v>2691</v>
      </c>
    </row>
    <row r="50" spans="1:10">
      <c r="A50" s="40">
        <v>0.16666666666666699</v>
      </c>
      <c r="B50" s="41">
        <v>1</v>
      </c>
      <c r="C50" s="15">
        <v>1</v>
      </c>
      <c r="D50" s="15">
        <v>1</v>
      </c>
      <c r="E50" s="15">
        <v>1</v>
      </c>
      <c r="F50" s="1"/>
      <c r="G50" s="1">
        <f t="shared" si="2"/>
        <v>897</v>
      </c>
      <c r="H50" s="1">
        <f t="shared" si="3"/>
        <v>897</v>
      </c>
      <c r="I50" s="1">
        <f t="shared" si="0"/>
        <v>2691</v>
      </c>
      <c r="J50" s="1">
        <f t="shared" si="1"/>
        <v>2691</v>
      </c>
    </row>
    <row r="51" spans="1:10">
      <c r="A51" s="40">
        <v>0.20833333333333301</v>
      </c>
      <c r="B51" s="41">
        <v>3</v>
      </c>
      <c r="C51" s="15">
        <v>3</v>
      </c>
      <c r="D51" s="15">
        <v>1</v>
      </c>
      <c r="E51" s="15">
        <v>1</v>
      </c>
      <c r="F51" s="1"/>
      <c r="G51" s="1">
        <f t="shared" si="2"/>
        <v>2691</v>
      </c>
      <c r="H51" s="1">
        <f t="shared" si="3"/>
        <v>2691</v>
      </c>
      <c r="I51" s="1">
        <f t="shared" si="0"/>
        <v>8073</v>
      </c>
      <c r="J51" s="1">
        <f t="shared" si="1"/>
        <v>8073</v>
      </c>
    </row>
    <row r="52" spans="1:10">
      <c r="A52" s="40">
        <v>0.25</v>
      </c>
      <c r="B52" s="41">
        <v>5</v>
      </c>
      <c r="C52" s="15">
        <v>5</v>
      </c>
      <c r="D52" s="15">
        <v>2</v>
      </c>
      <c r="E52" s="15">
        <v>2</v>
      </c>
      <c r="F52" s="1"/>
      <c r="G52" s="1">
        <f t="shared" si="2"/>
        <v>4485</v>
      </c>
      <c r="H52" s="1">
        <f t="shared" si="3"/>
        <v>4485</v>
      </c>
      <c r="I52" s="1">
        <f t="shared" si="0"/>
        <v>26910</v>
      </c>
      <c r="J52" s="1">
        <f t="shared" si="1"/>
        <v>26910</v>
      </c>
    </row>
    <row r="53" spans="1:10">
      <c r="A53" s="40">
        <v>0.29166666666666702</v>
      </c>
      <c r="B53" s="41">
        <v>5</v>
      </c>
      <c r="C53" s="15">
        <v>5</v>
      </c>
      <c r="D53" s="15">
        <v>2</v>
      </c>
      <c r="E53" s="15">
        <v>2</v>
      </c>
      <c r="F53" s="1"/>
      <c r="G53" s="1">
        <f t="shared" si="2"/>
        <v>4485</v>
      </c>
      <c r="H53" s="1">
        <f t="shared" si="3"/>
        <v>4485</v>
      </c>
      <c r="I53" s="1">
        <f t="shared" si="0"/>
        <v>26910</v>
      </c>
      <c r="J53" s="1">
        <f t="shared" si="1"/>
        <v>26910</v>
      </c>
    </row>
    <row r="54" spans="1:10">
      <c r="A54" s="40">
        <v>0.33333333333333298</v>
      </c>
      <c r="B54" s="41">
        <v>5</v>
      </c>
      <c r="C54" s="15">
        <v>5</v>
      </c>
      <c r="D54" s="15">
        <v>2</v>
      </c>
      <c r="E54" s="15">
        <v>2</v>
      </c>
      <c r="F54" s="1"/>
      <c r="G54" s="1">
        <f t="shared" si="2"/>
        <v>4485</v>
      </c>
      <c r="H54" s="1">
        <f t="shared" si="3"/>
        <v>4485</v>
      </c>
      <c r="I54" s="1">
        <f t="shared" si="0"/>
        <v>26910</v>
      </c>
      <c r="J54" s="1">
        <f t="shared" si="1"/>
        <v>26910</v>
      </c>
    </row>
    <row r="55" spans="1:10">
      <c r="A55" s="40">
        <v>0.375</v>
      </c>
      <c r="B55" s="41">
        <v>5</v>
      </c>
      <c r="C55" s="15">
        <v>5</v>
      </c>
      <c r="D55" s="15">
        <v>2</v>
      </c>
      <c r="E55" s="15">
        <v>2</v>
      </c>
      <c r="F55" s="1"/>
      <c r="G55" s="1">
        <f t="shared" si="2"/>
        <v>4485</v>
      </c>
      <c r="H55" s="1">
        <f t="shared" si="3"/>
        <v>4485</v>
      </c>
      <c r="I55" s="1">
        <f t="shared" si="0"/>
        <v>26910</v>
      </c>
      <c r="J55" s="1">
        <f t="shared" si="1"/>
        <v>26910</v>
      </c>
    </row>
    <row r="56" spans="1:10">
      <c r="A56" s="40">
        <v>0.41666666666666702</v>
      </c>
      <c r="B56" s="41">
        <v>3</v>
      </c>
      <c r="C56" s="15">
        <v>5</v>
      </c>
      <c r="D56" s="15">
        <v>2</v>
      </c>
      <c r="E56" s="15">
        <v>2</v>
      </c>
      <c r="F56" s="1"/>
      <c r="G56" s="1">
        <f t="shared" si="2"/>
        <v>2691</v>
      </c>
      <c r="H56" s="1">
        <f t="shared" si="3"/>
        <v>4485</v>
      </c>
      <c r="I56" s="1">
        <f t="shared" si="0"/>
        <v>16146</v>
      </c>
      <c r="J56" s="1">
        <f t="shared" si="1"/>
        <v>26910</v>
      </c>
    </row>
    <row r="57" spans="1:10">
      <c r="A57" s="40">
        <v>0.45833333333333298</v>
      </c>
      <c r="B57" s="41">
        <v>3</v>
      </c>
      <c r="C57" s="15">
        <v>5</v>
      </c>
      <c r="D57" s="15">
        <v>2</v>
      </c>
      <c r="E57" s="15">
        <v>2</v>
      </c>
      <c r="F57" s="1"/>
      <c r="G57" s="1">
        <f t="shared" si="2"/>
        <v>2691</v>
      </c>
      <c r="H57" s="1">
        <f t="shared" si="3"/>
        <v>4485</v>
      </c>
      <c r="I57" s="1">
        <f t="shared" si="0"/>
        <v>16146</v>
      </c>
      <c r="J57" s="1">
        <f t="shared" si="1"/>
        <v>26910</v>
      </c>
    </row>
    <row r="58" spans="1:10">
      <c r="A58" s="40">
        <v>0.5</v>
      </c>
      <c r="B58" s="41">
        <v>3</v>
      </c>
      <c r="C58" s="15">
        <v>5</v>
      </c>
      <c r="D58" s="15">
        <v>2</v>
      </c>
      <c r="E58" s="15">
        <v>2</v>
      </c>
      <c r="F58" s="1"/>
      <c r="G58" s="1">
        <f t="shared" si="2"/>
        <v>2691</v>
      </c>
      <c r="H58" s="1">
        <f t="shared" si="3"/>
        <v>4485</v>
      </c>
      <c r="I58" s="1">
        <f t="shared" si="0"/>
        <v>16146</v>
      </c>
      <c r="J58" s="1">
        <f t="shared" si="1"/>
        <v>26910</v>
      </c>
    </row>
    <row r="59" spans="1:10">
      <c r="A59" s="40">
        <v>0.54166666666666696</v>
      </c>
      <c r="B59" s="41">
        <v>3</v>
      </c>
      <c r="C59" s="15">
        <v>5</v>
      </c>
      <c r="D59" s="15">
        <v>2</v>
      </c>
      <c r="E59" s="15">
        <v>2</v>
      </c>
      <c r="F59" s="1"/>
      <c r="G59" s="1">
        <f t="shared" si="2"/>
        <v>2691</v>
      </c>
      <c r="H59" s="1">
        <f t="shared" si="3"/>
        <v>4485</v>
      </c>
      <c r="I59" s="1">
        <f t="shared" si="0"/>
        <v>16146</v>
      </c>
      <c r="J59" s="1">
        <f t="shared" si="1"/>
        <v>26910</v>
      </c>
    </row>
    <row r="60" spans="1:10">
      <c r="A60" s="40">
        <v>0.58333333333333304</v>
      </c>
      <c r="B60" s="41">
        <v>3</v>
      </c>
      <c r="C60" s="15">
        <v>5</v>
      </c>
      <c r="D60" s="15">
        <v>4</v>
      </c>
      <c r="E60" s="15">
        <v>3</v>
      </c>
      <c r="F60" s="1"/>
      <c r="G60" s="1">
        <f t="shared" si="2"/>
        <v>2691</v>
      </c>
      <c r="H60" s="1">
        <f t="shared" si="3"/>
        <v>4485</v>
      </c>
      <c r="I60" s="1">
        <f t="shared" si="0"/>
        <v>32292</v>
      </c>
      <c r="J60" s="1">
        <f t="shared" si="1"/>
        <v>40365</v>
      </c>
    </row>
    <row r="61" spans="1:10">
      <c r="A61" s="40">
        <v>0.625</v>
      </c>
      <c r="B61" s="41">
        <v>3</v>
      </c>
      <c r="C61" s="15">
        <v>5</v>
      </c>
      <c r="D61" s="15">
        <v>6</v>
      </c>
      <c r="E61" s="15">
        <v>4</v>
      </c>
      <c r="F61" s="1"/>
      <c r="G61" s="1">
        <f t="shared" si="2"/>
        <v>2691</v>
      </c>
      <c r="H61" s="1">
        <f t="shared" si="3"/>
        <v>4485</v>
      </c>
      <c r="I61" s="1">
        <f t="shared" si="0"/>
        <v>48438</v>
      </c>
      <c r="J61" s="1">
        <f t="shared" si="1"/>
        <v>53820</v>
      </c>
    </row>
    <row r="62" spans="1:10">
      <c r="A62" s="40">
        <v>0.66666666666666696</v>
      </c>
      <c r="B62" s="41">
        <v>3</v>
      </c>
      <c r="C62" s="15">
        <v>5</v>
      </c>
      <c r="D62" s="15">
        <v>8</v>
      </c>
      <c r="E62" s="15">
        <v>5</v>
      </c>
      <c r="F62" s="1"/>
      <c r="G62" s="1">
        <f t="shared" si="2"/>
        <v>2691</v>
      </c>
      <c r="H62" s="1">
        <f t="shared" si="3"/>
        <v>4485</v>
      </c>
      <c r="I62" s="1">
        <f t="shared" si="0"/>
        <v>64584</v>
      </c>
      <c r="J62" s="1">
        <f t="shared" si="1"/>
        <v>67275</v>
      </c>
    </row>
    <row r="63" spans="1:10">
      <c r="A63" s="40">
        <v>0.70833333333333304</v>
      </c>
      <c r="B63" s="41">
        <v>4</v>
      </c>
      <c r="C63" s="15">
        <v>5</v>
      </c>
      <c r="D63" s="15">
        <v>10</v>
      </c>
      <c r="E63" s="15">
        <v>5</v>
      </c>
      <c r="F63" s="1"/>
      <c r="G63" s="1">
        <f t="shared" si="2"/>
        <v>3588</v>
      </c>
      <c r="H63" s="1">
        <f t="shared" si="3"/>
        <v>4485</v>
      </c>
      <c r="I63" s="1">
        <f t="shared" si="0"/>
        <v>107640</v>
      </c>
      <c r="J63" s="1">
        <f t="shared" si="1"/>
        <v>67275</v>
      </c>
    </row>
    <row r="64" spans="1:10">
      <c r="A64" s="40">
        <v>0.75</v>
      </c>
      <c r="B64" s="41">
        <v>5</v>
      </c>
      <c r="C64" s="15">
        <v>5</v>
      </c>
      <c r="D64" s="15">
        <v>10</v>
      </c>
      <c r="E64" s="15">
        <v>5</v>
      </c>
      <c r="F64" s="1"/>
      <c r="G64" s="1">
        <f t="shared" si="2"/>
        <v>4485</v>
      </c>
      <c r="H64" s="1">
        <f t="shared" si="3"/>
        <v>4485</v>
      </c>
      <c r="I64" s="1">
        <f t="shared" si="0"/>
        <v>134550</v>
      </c>
      <c r="J64" s="1">
        <f t="shared" si="1"/>
        <v>67275</v>
      </c>
    </row>
    <row r="65" spans="1:10">
      <c r="A65" s="40">
        <v>0.79166666666666696</v>
      </c>
      <c r="B65" s="41">
        <v>5</v>
      </c>
      <c r="C65" s="15">
        <v>5</v>
      </c>
      <c r="D65" s="15">
        <v>8</v>
      </c>
      <c r="E65" s="15">
        <v>4</v>
      </c>
      <c r="F65" s="1"/>
      <c r="G65" s="1">
        <f t="shared" si="2"/>
        <v>4485</v>
      </c>
      <c r="H65" s="1">
        <f t="shared" si="3"/>
        <v>4485</v>
      </c>
      <c r="I65" s="1">
        <f t="shared" si="0"/>
        <v>107640</v>
      </c>
      <c r="J65" s="1">
        <f t="shared" si="1"/>
        <v>53820</v>
      </c>
    </row>
    <row r="66" spans="1:10">
      <c r="A66" s="40">
        <v>0.83333333333333404</v>
      </c>
      <c r="B66" s="41">
        <v>5</v>
      </c>
      <c r="C66" s="15">
        <v>5</v>
      </c>
      <c r="D66" s="15">
        <v>6</v>
      </c>
      <c r="E66" s="15">
        <v>3</v>
      </c>
      <c r="F66" s="1"/>
      <c r="G66" s="1">
        <f t="shared" si="2"/>
        <v>4485</v>
      </c>
      <c r="H66" s="1">
        <f t="shared" si="3"/>
        <v>4485</v>
      </c>
      <c r="I66" s="1">
        <f t="shared" si="0"/>
        <v>80730</v>
      </c>
      <c r="J66" s="1">
        <f t="shared" si="1"/>
        <v>40365</v>
      </c>
    </row>
    <row r="67" spans="1:10">
      <c r="A67" s="40">
        <v>0.875000000000001</v>
      </c>
      <c r="B67" s="41">
        <v>5</v>
      </c>
      <c r="C67" s="15">
        <v>5</v>
      </c>
      <c r="D67" s="15">
        <v>4</v>
      </c>
      <c r="E67" s="15">
        <v>2</v>
      </c>
      <c r="F67" s="1"/>
      <c r="G67" s="1">
        <f t="shared" si="2"/>
        <v>4485</v>
      </c>
      <c r="H67" s="1">
        <f t="shared" si="3"/>
        <v>4485</v>
      </c>
      <c r="I67" s="1">
        <f t="shared" si="0"/>
        <v>53820</v>
      </c>
      <c r="J67" s="1">
        <f t="shared" si="1"/>
        <v>26910</v>
      </c>
    </row>
    <row r="68" spans="1:10">
      <c r="A68" s="40">
        <v>0.91666666666666696</v>
      </c>
      <c r="B68" s="41">
        <v>3</v>
      </c>
      <c r="C68" s="15">
        <v>5</v>
      </c>
      <c r="D68" s="15">
        <v>2</v>
      </c>
      <c r="E68" s="15">
        <v>1</v>
      </c>
      <c r="F68" s="1"/>
      <c r="G68" s="1">
        <f t="shared" si="2"/>
        <v>2691</v>
      </c>
      <c r="H68" s="1">
        <f t="shared" si="3"/>
        <v>4485</v>
      </c>
      <c r="I68" s="1">
        <f t="shared" si="0"/>
        <v>16146</v>
      </c>
      <c r="J68" s="1">
        <f t="shared" si="1"/>
        <v>13455</v>
      </c>
    </row>
    <row r="69" spans="1:10">
      <c r="A69" s="40">
        <v>0.95833333333333404</v>
      </c>
      <c r="B69" s="41">
        <v>1</v>
      </c>
      <c r="C69" s="15">
        <v>3</v>
      </c>
      <c r="D69" s="15">
        <v>1</v>
      </c>
      <c r="E69" s="15">
        <v>1</v>
      </c>
      <c r="F69" s="1"/>
      <c r="G69" s="1">
        <f t="shared" si="2"/>
        <v>897</v>
      </c>
      <c r="H69" s="1">
        <f t="shared" si="3"/>
        <v>2691</v>
      </c>
      <c r="I69" s="1">
        <f t="shared" si="0"/>
        <v>2691</v>
      </c>
      <c r="J69" s="1">
        <f t="shared" si="1"/>
        <v>8073</v>
      </c>
    </row>
    <row r="70" spans="1:10">
      <c r="A70" s="14" t="s">
        <v>3</v>
      </c>
      <c r="B70" s="42">
        <f>SUM(B46:B69)</f>
        <v>77</v>
      </c>
      <c r="C70" s="42">
        <f>SUM(C46:C69)</f>
        <v>96</v>
      </c>
      <c r="D70" s="42">
        <f t="shared" ref="D70:E70" si="4">SUM(D46:D69)</f>
        <v>81</v>
      </c>
      <c r="E70" s="42">
        <f t="shared" si="4"/>
        <v>55</v>
      </c>
      <c r="G70" s="1">
        <f t="shared" ref="G70:H70" si="5">SUM(G46:G69)</f>
        <v>69069</v>
      </c>
      <c r="H70" s="1">
        <f t="shared" si="5"/>
        <v>86112</v>
      </c>
      <c r="I70" s="1">
        <f>SUM(I46:I69)</f>
        <v>842283</v>
      </c>
      <c r="J70" s="1">
        <f>SUM(J46:J69)</f>
        <v>675441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sheetPr codeName="Sheet3"/>
  <dimension ref="A8:D11"/>
  <sheetViews>
    <sheetView workbookViewId="0">
      <selection activeCell="D10" sqref="D10"/>
    </sheetView>
  </sheetViews>
  <sheetFormatPr defaultRowHeight="15"/>
  <cols>
    <col min="3" max="4" width="18.85546875" customWidth="1"/>
  </cols>
  <sheetData>
    <row r="8" spans="1:4" ht="15.75" thickBot="1"/>
    <row r="9" spans="1:4" ht="15.75" thickBot="1">
      <c r="A9" s="11" t="s">
        <v>8</v>
      </c>
      <c r="B9" s="12"/>
      <c r="C9" s="12"/>
      <c r="D9" s="13"/>
    </row>
    <row r="10" spans="1:4">
      <c r="A10" s="7" t="s">
        <v>6</v>
      </c>
      <c r="B10" s="8"/>
      <c r="C10" s="9">
        <v>1315069200</v>
      </c>
      <c r="D10" s="10">
        <f>(C10)/(60*60*24)+"1/1/1970"</f>
        <v>40789.708333333336</v>
      </c>
    </row>
    <row r="11" spans="1:4" ht="15.75" thickBot="1">
      <c r="A11" s="3" t="s">
        <v>7</v>
      </c>
      <c r="B11" s="4"/>
      <c r="C11" s="5">
        <v>40878</v>
      </c>
      <c r="D11" s="6">
        <f>((C11-"1/1/1970")*60*60*24)</f>
        <v>1322697600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23</vt:i4>
      </vt:variant>
    </vt:vector>
  </HeadingPairs>
  <TitlesOfParts>
    <vt:vector size="26" baseType="lpstr">
      <vt:lpstr>Overview</vt:lpstr>
      <vt:lpstr>EUIGenerator</vt:lpstr>
      <vt:lpstr>Computations</vt:lpstr>
      <vt:lpstr>ADDITIONAL_CHARGES</vt:lpstr>
      <vt:lpstr>BATCH_INDEX</vt:lpstr>
      <vt:lpstr>BLOCK_DURATION</vt:lpstr>
      <vt:lpstr>CUSTOMER_TITLE</vt:lpstr>
      <vt:lpstr>CUSTOMER_URL</vt:lpstr>
      <vt:lpstr>DURATION_OF_BILLING_PERIOD</vt:lpstr>
      <vt:lpstr>END_OF_BILLING_PERIOD</vt:lpstr>
      <vt:lpstr>END_OF_SIMULATION</vt:lpstr>
      <vt:lpstr>INTERVAL_BLOCK_INDEX</vt:lpstr>
      <vt:lpstr>INTERVAL_DURATION</vt:lpstr>
      <vt:lpstr>METER_READING_INDEX</vt:lpstr>
      <vt:lpstr>MeterReadingIndex</vt:lpstr>
      <vt:lpstr>OUTPUT_FILENAME</vt:lpstr>
      <vt:lpstr>POWER_OF_TEN_MULTIPLIER</vt:lpstr>
      <vt:lpstr>READING_TYPE_INDEX</vt:lpstr>
      <vt:lpstr>SERVICE_KIND</vt:lpstr>
      <vt:lpstr>START_OF_BILLING_PERIOD</vt:lpstr>
      <vt:lpstr>START_USAGE_WEEKDAY</vt:lpstr>
      <vt:lpstr>TOTAL_COST_CURRENT_PERIOD</vt:lpstr>
      <vt:lpstr>TOTAL_COST_USAGE_BILLING_PERIOD</vt:lpstr>
      <vt:lpstr>TOTAL_USAGE_BILLING_PERIOD</vt:lpstr>
      <vt:lpstr>TOTAL_USAGE_CURRENT_PERIOD</vt:lpstr>
      <vt:lpstr>USAGE_POINT_INDEX</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2012-01-16T14:57:07Z</dcterms:modified>
</cp:coreProperties>
</file>