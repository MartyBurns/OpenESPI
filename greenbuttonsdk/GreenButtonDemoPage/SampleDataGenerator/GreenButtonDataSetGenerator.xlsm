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90" yWindow="75" windowWidth="15030" windowHeight="11670" activeTab="1"/>
  </bookViews>
  <sheets>
    <sheet name="Overview" sheetId="2" r:id="rId1"/>
    <sheet name="EUIGenerator" sheetId="1" r:id="rId2"/>
    <sheet name="DSTRuleCalculator" sheetId="3" r:id="rId3"/>
  </sheets>
  <functionGroups builtInGroupCount="17"/>
  <definedNames>
    <definedName name="ACCUMULATION_BEHAVIOR">EUIGenerator!$A$33</definedName>
    <definedName name="ADDITIONAL_CHARGES">EUIGenerator!$A$16</definedName>
    <definedName name="BASE_COST">EUIGenerator!$A$15</definedName>
    <definedName name="BASE_COST_B">EUIGenerator!$B$68</definedName>
    <definedName name="BATCH_INDEX">EUIGenerator!$A$41</definedName>
    <definedName name="BLOCK_DURATION">EUIGenerator!$A$28</definedName>
    <definedName name="COMMODITY">EUIGenerator!$A$34</definedName>
    <definedName name="CUSTOMER_TITLE">EUIGenerator!$A$17</definedName>
    <definedName name="CUSTOMER_URL">EUIGenerator!$A$45</definedName>
    <definedName name="DATA_QUALIFIER">EUIGenerator!$A$35</definedName>
    <definedName name="DST_END_RULE">EUIGenerator!$A$25</definedName>
    <definedName name="DST_OFFSET">EUIGenerator!$A$23</definedName>
    <definedName name="DST_START_RULE">EUIGenerator!$A$24</definedName>
    <definedName name="DURATION_OF_LAST_BILLING_PERIOD">EUIGenerator!$A$12</definedName>
    <definedName name="END_OF_BILLING_PERIOD">EUIGenerator!$B$69</definedName>
    <definedName name="END_OF_SIMULATION">EUIGenerator!$A$13</definedName>
    <definedName name="EXTERNAL_DATA_FNAME">EUIGenerator!$A$6</definedName>
    <definedName name="FLOW_DIRECTION">EUIGenerator!$A$36</definedName>
    <definedName name="INCLUDE_HEADER_COMMENT">EUIGenerator!$A$26</definedName>
    <definedName name="INTERVAL_BLOCK_INDEX">EUIGenerator!$A$40</definedName>
    <definedName name="INTERVAL_DURATION">EUIGenerator!$A$27</definedName>
    <definedName name="KIND">EUIGenerator!$A$37</definedName>
    <definedName name="METER_READING_INDEX">EUIGenerator!$A$42</definedName>
    <definedName name="METER_READING_TITLE">EUIGenerator!$A$20</definedName>
    <definedName name="MeterReadingIndex">EUIGenerator!$B$42</definedName>
    <definedName name="OUTPUT_FILENAME">EUIGenerator!$A$10</definedName>
    <definedName name="PHASE">EUIGenerator!$A$39</definedName>
    <definedName name="POWER_OF_TEN_MULTIPLIER">EUIGenerator!$A$30</definedName>
    <definedName name="POWER_OF_TEN_MULTIPLIER_B">EUIGenerator!$B$66</definedName>
    <definedName name="RAW_INTERVAL_DATA_MULTIPLIER">EUIGenerator!$A$7</definedName>
    <definedName name="READING_TYPE_INDEX">EUIGenerator!$A$43</definedName>
    <definedName name="RUN_STATUS">EUIGenerator!$A$3</definedName>
    <definedName name="SERVICE_KIND">EUIGenerator!$A$31</definedName>
    <definedName name="START_OF_BILLING_PERIOD">EUIGenerator!$A$11</definedName>
    <definedName name="START_USAGE_WEEKDAY">EUIGenerator!$G$74</definedName>
    <definedName name="STRTOUX_IN">EUIGenerator!$C$102</definedName>
    <definedName name="STRTOUX_OUT">EUIGenerator!$D$102</definedName>
    <definedName name="TIME_ATTRIBUTE">EUIGenerator!$A$38</definedName>
    <definedName name="TIMZONE_OFFSET">EUIGenerator!$A$22</definedName>
    <definedName name="TIMZONE_TITLE">EUIGenerator!$A$21</definedName>
    <definedName name="TOTAL_BILL_LAST_BILLING_PERIOD">EUIGenerator!$A$50</definedName>
    <definedName name="TOTAL_COST_CURRENT_PERIOD">EUIGenerator!$A$52</definedName>
    <definedName name="TOTAL_COST_USAGE_BILLING_PERIOD">EUIGenerator!$A$49</definedName>
    <definedName name="TOTAL_USAGE_BILLING_PERIOD">EUIGenerator!$A$51</definedName>
    <definedName name="TOTAL_USAGE_CURRENT_PERIOD">EUIGenerator!$A$53</definedName>
    <definedName name="TYPICAL_USAGE">EUIGenerator!$A$14</definedName>
    <definedName name="TYPICAL_USAGE_A">EUIGenerator!$A$14</definedName>
    <definedName name="TYPICAL_USAGE_B">EUIGenerator!$B$67</definedName>
    <definedName name="UOM">EUIGenerator!$A$32</definedName>
    <definedName name="USAGE_POINT_INDEX">EUIGenerator!$A$44</definedName>
    <definedName name="UXTOSTR_IN">EUIGenerator!$C$101</definedName>
    <definedName name="UXTOSTR_OUT">EUIGenerator!$D$101</definedName>
    <definedName name="WORKSHEET_FOR_WEIGHTING">EUIGenerator!$A$18</definedName>
  </definedNames>
  <calcPr calcId="145621"/>
</workbook>
</file>

<file path=xl/calcChain.xml><?xml version="1.0" encoding="utf-8"?>
<calcChain xmlns="http://schemas.openxmlformats.org/spreadsheetml/2006/main">
  <c r="Y22" i="1" l="1"/>
  <c r="X22" i="1" l="1"/>
  <c r="W22" i="1"/>
  <c r="E27" i="1" l="1"/>
  <c r="H27" i="1" l="1"/>
  <c r="D102" i="1"/>
  <c r="D101" i="1"/>
  <c r="C98" i="1" l="1"/>
  <c r="F9" i="3" l="1"/>
  <c r="D9" i="3"/>
  <c r="F8" i="3"/>
  <c r="D8" i="3"/>
  <c r="F7" i="3"/>
  <c r="D7" i="3"/>
  <c r="F6" i="3"/>
  <c r="D6" i="3"/>
  <c r="F5" i="3"/>
  <c r="D5" i="3"/>
  <c r="F4" i="3"/>
  <c r="D4" i="3"/>
  <c r="D10" i="3" l="1"/>
  <c r="C11" i="3" s="1"/>
  <c r="F10" i="3"/>
  <c r="E11" i="3" s="1"/>
  <c r="B98" i="1" l="1"/>
  <c r="B65" i="1" s="1"/>
  <c r="E98" i="1"/>
  <c r="D98" i="1"/>
  <c r="A1" i="1" l="1"/>
  <c r="B63" i="1"/>
  <c r="G74" i="1" l="1"/>
  <c r="I74" i="1" s="1"/>
  <c r="G75" i="1"/>
  <c r="I75" i="1" s="1"/>
  <c r="B64" i="1"/>
  <c r="G82" i="1" l="1"/>
  <c r="I82" i="1" s="1"/>
  <c r="G76" i="1"/>
  <c r="I76" i="1" s="1"/>
  <c r="G77" i="1"/>
  <c r="I77" i="1" s="1"/>
  <c r="G79" i="1"/>
  <c r="I79" i="1" s="1"/>
  <c r="G80" i="1"/>
  <c r="I80" i="1" s="1"/>
  <c r="G81" i="1"/>
  <c r="I81" i="1" s="1"/>
  <c r="G78" i="1"/>
  <c r="I78" i="1" s="1"/>
  <c r="H97" i="1"/>
  <c r="J97" i="1" s="1"/>
  <c r="H92" i="1"/>
  <c r="J92" i="1" s="1"/>
  <c r="H80" i="1"/>
  <c r="J80" i="1" s="1"/>
  <c r="H84" i="1"/>
  <c r="J84" i="1" s="1"/>
  <c r="G92" i="1"/>
  <c r="I92" i="1" s="1"/>
  <c r="H88" i="1"/>
  <c r="J88" i="1" s="1"/>
  <c r="G96" i="1"/>
  <c r="I96" i="1" s="1"/>
  <c r="H76" i="1"/>
  <c r="J76" i="1" s="1"/>
  <c r="G84" i="1"/>
  <c r="I84" i="1" s="1"/>
  <c r="H96" i="1"/>
  <c r="J96" i="1" s="1"/>
  <c r="G88" i="1"/>
  <c r="I88" i="1" s="1"/>
  <c r="G87" i="1"/>
  <c r="I87" i="1" s="1"/>
  <c r="H79" i="1"/>
  <c r="J79" i="1" s="1"/>
  <c r="H95" i="1"/>
  <c r="J95" i="1" s="1"/>
  <c r="G86" i="1"/>
  <c r="I86" i="1" s="1"/>
  <c r="H78" i="1"/>
  <c r="J78" i="1" s="1"/>
  <c r="H94" i="1"/>
  <c r="J94" i="1" s="1"/>
  <c r="G89" i="1"/>
  <c r="I89" i="1" s="1"/>
  <c r="H81" i="1"/>
  <c r="J81" i="1" s="1"/>
  <c r="G83" i="1"/>
  <c r="I83" i="1" s="1"/>
  <c r="H75" i="1"/>
  <c r="J75" i="1" s="1"/>
  <c r="H91" i="1"/>
  <c r="J91" i="1" s="1"/>
  <c r="H74" i="1"/>
  <c r="J74" i="1" s="1"/>
  <c r="H90" i="1"/>
  <c r="J90" i="1" s="1"/>
  <c r="G85" i="1"/>
  <c r="I85" i="1" s="1"/>
  <c r="H77" i="1"/>
  <c r="J77" i="1" s="1"/>
  <c r="H93" i="1"/>
  <c r="J93" i="1" s="1"/>
  <c r="G95" i="1"/>
  <c r="I95" i="1" s="1"/>
  <c r="H87" i="1"/>
  <c r="J87" i="1" s="1"/>
  <c r="G94" i="1"/>
  <c r="I94" i="1" s="1"/>
  <c r="H86" i="1"/>
  <c r="J86" i="1" s="1"/>
  <c r="G97" i="1"/>
  <c r="I97" i="1" s="1"/>
  <c r="G91" i="1"/>
  <c r="I91" i="1" s="1"/>
  <c r="H83" i="1"/>
  <c r="J83" i="1" s="1"/>
  <c r="G90" i="1"/>
  <c r="I90" i="1" s="1"/>
  <c r="H82" i="1"/>
  <c r="J82" i="1" s="1"/>
  <c r="G93" i="1"/>
  <c r="I93" i="1" s="1"/>
  <c r="H85" i="1"/>
  <c r="J85" i="1" s="1"/>
  <c r="H89" i="1"/>
  <c r="J89" i="1" s="1"/>
  <c r="J98" i="1" l="1"/>
  <c r="H98" i="1"/>
  <c r="G98" i="1"/>
  <c r="B55" i="1" s="1"/>
  <c r="I98" i="1"/>
  <c r="B56" i="1" l="1"/>
  <c r="B57" i="1" s="1"/>
  <c r="B62" i="1" s="1"/>
  <c r="B59" i="1"/>
  <c r="B58" i="1"/>
  <c r="B60" i="1" l="1"/>
  <c r="B61" i="1" s="1"/>
</calcChain>
</file>

<file path=xl/sharedStrings.xml><?xml version="1.0" encoding="utf-8"?>
<sst xmlns="http://schemas.openxmlformats.org/spreadsheetml/2006/main" count="464" uniqueCount="151">
  <si>
    <t>Weekday</t>
  </si>
  <si>
    <t>Weekend</t>
  </si>
  <si>
    <t>Total</t>
  </si>
  <si>
    <t>Utility Bill - Flat rate power Charges, Hourly readings</t>
  </si>
  <si>
    <t>Cost</t>
  </si>
  <si>
    <t>End of Simulation</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</si>
  <si>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</si>
  <si>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</si>
  <si>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</si>
  <si>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</si>
  <si>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</si>
  <si>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</si>
  <si>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</si>
  <si>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</si>
  <si>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</si>
  <si>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</si>
  <si>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</si>
  <si>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/User/9b6c7063</t>
  </si>
  <si>
    <t>Information Setting</t>
  </si>
  <si>
    <t>Weighting and Profile Results</t>
  </si>
  <si>
    <t>UsagePoint Index</t>
  </si>
  <si>
    <t>ReadingType Index</t>
  </si>
  <si>
    <t>MeterReading Index</t>
  </si>
  <si>
    <t>Interval Duration Secs</t>
  </si>
  <si>
    <t>End of Billing Period</t>
  </si>
  <si>
    <t>Customer Title</t>
  </si>
  <si>
    <t>01</t>
  </si>
  <si>
    <t>07</t>
  </si>
  <si>
    <t>Additional Charges On Bill Last Period</t>
  </si>
  <si>
    <t>Total Bill For Last Billing Period</t>
  </si>
  <si>
    <t>Total Cost Current Period</t>
  </si>
  <si>
    <t>Batch Index</t>
  </si>
  <si>
    <t>83e269c1</t>
  </si>
  <si>
    <t>Interval Block Index</t>
  </si>
  <si>
    <t>0173</t>
  </si>
  <si>
    <t>Start of last Billing Period</t>
  </si>
  <si>
    <t>Duration of Last Billing Period in Days</t>
  </si>
  <si>
    <t>Typical monthly usage (used for scaling)</t>
  </si>
  <si>
    <t>Total Cost Energy Last Billing Period</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</si>
  <si>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</si>
  <si>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Output file name</t>
  </si>
  <si>
    <t>External Data File</t>
  </si>
  <si>
    <t>Include header comment</t>
  </si>
  <si>
    <t>Settings for external data</t>
  </si>
  <si>
    <t>Settings for data simulation</t>
  </si>
  <si>
    <t>Common settings</t>
  </si>
  <si>
    <t>Worksheet for weighting</t>
  </si>
  <si>
    <t>Run status:</t>
  </si>
  <si>
    <t>COMPLETE</t>
  </si>
  <si>
    <t>Authors: Marty Burns, Ron Pasquarelli</t>
  </si>
  <si>
    <t>NA</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</si>
  <si>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</si>
  <si>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</si>
  <si>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</si>
  <si>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</si>
  <si>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Raw Interval Data Multiplier (to scale value to integer with desired precision)</t>
  </si>
  <si>
    <t>Simulation Summary Results</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</si>
  <si>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</si>
  <si>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</si>
  <si>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</si>
  <si>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</si>
  <si>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</si>
  <si>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</si>
  <si>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</si>
  <si>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</si>
  <si>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</si>
  <si>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</si>
  <si>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</si>
  <si>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</si>
  <si>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</si>
  <si>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</si>
  <si>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</si>
  <si>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</si>
  <si>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</si>
  <si>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</si>
  <si>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</si>
  <si>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</si>
  <si>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</si>
  <si>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</si>
  <si>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Version 0.7</t>
  </si>
  <si>
    <t>Interval Block Duration Secs or Daily or Monthly</t>
  </si>
  <si>
    <t>2</t>
  </si>
  <si>
    <t>B40E2000</t>
  </si>
  <si>
    <t>Daylight Savings Time Offset (seconds)</t>
  </si>
  <si>
    <t>UTC to date-time</t>
  </si>
  <si>
    <t>Date-time to UTC</t>
  </si>
  <si>
    <t>Monthly</t>
  </si>
  <si>
    <t>1hrLP_32Days.xml</t>
  </si>
  <si>
    <t>15minLP_15Days.xml</t>
  </si>
  <si>
    <t>1dayLP_45Days.xml</t>
  </si>
  <si>
    <t>EUIAndDemand.xml</t>
  </si>
  <si>
    <t>Gas.xml</t>
  </si>
  <si>
    <t>Water.xml</t>
  </si>
  <si>
    <t>12MonthlyUpdates.xml</t>
  </si>
  <si>
    <t>a galaxy far, far away</t>
  </si>
  <si>
    <t>your house</t>
  </si>
  <si>
    <t>my house</t>
  </si>
  <si>
    <t>20000 SOMEPLACE ST</t>
  </si>
  <si>
    <t>/User/9b6c7064</t>
  </si>
  <si>
    <t>/User/9b6c7065</t>
  </si>
  <si>
    <t>/User/9b6c7066</t>
  </si>
  <si>
    <t>Daily</t>
  </si>
  <si>
    <t>1dayLP_365Days.xml</t>
  </si>
  <si>
    <t>&lt;== content of row 28</t>
  </si>
  <si>
    <t>&lt;== content of row 14</t>
  </si>
  <si>
    <t>&lt;== content of row 15</t>
  </si>
  <si>
    <t>Base Cost Per Unit (will be scaled by weights)</t>
  </si>
  <si>
    <t>&lt;== content end of billing period Cdate</t>
  </si>
  <si>
    <t>Meter Reading Title</t>
  </si>
  <si>
    <t>Hourly Electricity Consumption</t>
  </si>
  <si>
    <t>Fifteen Minute Electricity Consumption</t>
  </si>
  <si>
    <t>Daily Electricity Consumption</t>
  </si>
  <si>
    <t>Summary of Electricity Consumption</t>
  </si>
  <si>
    <t>Monthly Gas Consumption</t>
  </si>
  <si>
    <t>Monthly Water Consumption</t>
  </si>
  <si>
    <t>Usage per unit weighting</t>
  </si>
  <si>
    <t>Electric.xml</t>
  </si>
  <si>
    <t>hourlyForMonthJan.xml</t>
  </si>
  <si>
    <t>hourlyForMonthFeb.xml</t>
  </si>
  <si>
    <t>hourlyForMonthMar.xml</t>
  </si>
  <si>
    <t>hourlyForMonthApr.xml</t>
  </si>
  <si>
    <t>hourlyForMonthMay.xml</t>
  </si>
  <si>
    <t>hourlyForMonthJun.xml</t>
  </si>
  <si>
    <t>hourlyForMonthJul.xml</t>
  </si>
  <si>
    <t>hourlyForMonthAug.xml</t>
  </si>
  <si>
    <t>hourlyForMonthSep.xml</t>
  </si>
  <si>
    <t>hourlyForMonthOct.xml</t>
  </si>
  <si>
    <t>hourlyForMonthNov.xml</t>
  </si>
  <si>
    <t>hourlyForMonthDec.xml</t>
  </si>
  <si>
    <t>HourlyAppFilesDaily.xlsm</t>
  </si>
  <si>
    <t>HourlyAppFiles12hr.xlsm</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</si>
  <si>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</si>
  <si>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</si>
  <si>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</si>
  <si>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</si>
  <si>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</si>
  <si>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</si>
  <si>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</si>
  <si>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</si>
  <si>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</si>
  <si>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</si>
  <si>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</si>
  <si>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</si>
  <si>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</si>
  <si>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</si>
  <si>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</si>
  <si>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Total Usage Current Period</t>
  </si>
  <si>
    <t>Total Usage Last Billing Period</t>
  </si>
  <si>
    <t>Usage Weighting</t>
  </si>
  <si>
    <t>HourlyAppFiles.xlsm</t>
  </si>
  <si>
    <t>Date: 5 Jun 2012</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</si>
</sst>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8" formatCode="&quot;$&quot;#,##0.00_);[Red]\(&quot;$&quot;#,##0.00\)"/>
    <numFmt numFmtId="44" formatCode="_(&quot;$&quot;* #,##0.00_);_(&quot;$&quot;* \(#,##0.00\);_(&quot;$&quot;* &quot;-&quot;??_);_(@_)"/>
    <numFmt numFmtId="43" formatCode="_(* #,##0.00_);_(* \(#,##0.00\);_(* &quot;-&quot;??_);_(@_)"/>
    <numFmt numFmtId="164" formatCode="[$-F400]h:mm:ss\ AM/PM"/>
    <numFmt numFmtId="165" formatCode="m/d/yy\ h:mm;@"/>
    <numFmt numFmtId="166" formatCode="&quot;$&quot;#,##0.00"/>
    <numFmt numFmtId="167" formatCode="mm/dd/yyyy\ hh:mm;@"/>
    <numFmt numFmtId="168" formatCode="0.000000"/>
    <numFmt numFmtId="169" formatCode="0.0000000"/>
  </numFmts>
  <fonts count="12"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4"/>
      <color theme="0"/>
      <name val="Calibri"/>
      <family val="2"/>
      <scheme val="minor"/>
    </font>
    <font>
      <b/>
      <sz val="11"/>
      <color theme="1"/>
      <name val="Calibri"/>
      <family val="2"/>
      <scheme val="minor"/>
    </font>
    <font>
      <sz val="11"/>
      <color rgb="FF006100"/>
      <name val="Calibri"/>
      <family val="2"/>
      <scheme val="minor"/>
    </font>
    <font>
      <b/>
      <sz val="12"/>
      <color rgb="FF000000"/>
      <name val="Arial"/>
      <family val="2"/>
    </font>
    <font>
      <sz val="11"/>
      <color rgb="FF000000"/>
      <name val="Calibri"/>
      <family val="2"/>
    </font>
  </fonts>
  <fills count="10">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theme="9" tint="0.79998168889431442"/>
        <bgColor indexed="65"/>
      </patternFill>
    </fill>
    <fill>
      <patternFill patternType="solid">
        <fgColor rgb="FFC6EFCE"/>
      </patternFill>
    </fill>
    <fill>
      <patternFill patternType="solid">
        <fgColor theme="9"/>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s>
  <cellStyleXfs count="15">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44" fontId="5" fillId="0" borderId="0" applyFont="0" applyFill="0" applyBorder="0" applyAlignment="0" applyProtection="0"/>
    <xf numFmtId="0" fontId="5" fillId="7" borderId="0" applyNumberFormat="0" applyBorder="0" applyAlignment="0" applyProtection="0"/>
    <xf numFmtId="0" fontId="9" fillId="8"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9" borderId="0" applyNumberFormat="0" applyBorder="0" applyAlignment="0" applyProtection="0"/>
    <xf numFmtId="43" fontId="5" fillId="0" borderId="0" applyFont="0" applyFill="0" applyBorder="0" applyAlignment="0" applyProtection="0"/>
  </cellStyleXfs>
  <cellXfs count="69">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164" fontId="1" fillId="2" borderId="1" xfId="1" applyNumberFormat="1" applyAlignment="1">
      <alignment wrapText="1"/>
    </xf>
    <xf numFmtId="2" fontId="1" fillId="2" borderId="1" xfId="1" applyNumberFormat="1" applyAlignment="1">
      <alignment wrapText="1"/>
    </xf>
    <xf numFmtId="8"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5" fontId="1" fillId="2" borderId="1" xfId="1" applyNumberFormat="1" applyAlignment="1">
      <alignment horizontal="right" wrapText="1"/>
    </xf>
    <xf numFmtId="2" fontId="2" fillId="3" borderId="1" xfId="2" applyNumberFormat="1" applyAlignment="1">
      <alignment wrapText="1"/>
    </xf>
    <xf numFmtId="164" fontId="1" fillId="5" borderId="2" xfId="4" applyNumberFormat="1" applyFont="1" applyAlignment="1">
      <alignment wrapText="1"/>
    </xf>
    <xf numFmtId="164" fontId="5" fillId="6" borderId="1" xfId="5" applyNumberFormat="1" applyBorder="1" applyAlignment="1">
      <alignment wrapText="1"/>
    </xf>
    <xf numFmtId="2" fontId="1" fillId="2" borderId="1" xfId="1" applyNumberFormat="1" applyAlignment="1">
      <alignment horizontal="right" wrapText="1"/>
    </xf>
    <xf numFmtId="164" fontId="6" fillId="6" borderId="1" xfId="5" applyNumberFormat="1" applyFont="1" applyBorder="1" applyAlignment="1">
      <alignment wrapText="1"/>
    </xf>
    <xf numFmtId="164" fontId="4" fillId="4" borderId="0" xfId="3" applyAlignment="1">
      <alignment wrapText="1"/>
    </xf>
    <xf numFmtId="1" fontId="4" fillId="4" borderId="0" xfId="3" applyNumberFormat="1"/>
    <xf numFmtId="164" fontId="4" fillId="4" borderId="0" xfId="3"/>
    <xf numFmtId="164" fontId="5" fillId="6" borderId="0" xfId="5" applyNumberFormat="1"/>
    <xf numFmtId="164" fontId="1" fillId="2" borderId="1" xfId="1"/>
    <xf numFmtId="164" fontId="5" fillId="7" borderId="1" xfId="7" applyNumberFormat="1" applyBorder="1" applyAlignment="1">
      <alignment wrapText="1"/>
    </xf>
    <xf numFmtId="164" fontId="5" fillId="7" borderId="0" xfId="7" applyNumberFormat="1"/>
    <xf numFmtId="164" fontId="6" fillId="7" borderId="1" xfId="7" applyNumberFormat="1" applyFont="1" applyBorder="1" applyAlignment="1">
      <alignment wrapText="1"/>
    </xf>
    <xf numFmtId="164" fontId="7" fillId="4" borderId="0" xfId="3" applyFont="1" applyAlignment="1">
      <alignment wrapText="1"/>
    </xf>
    <xf numFmtId="164" fontId="7" fillId="4" borderId="0" xfId="3" applyFont="1"/>
    <xf numFmtId="166" fontId="2" fillId="3" borderId="1" xfId="6" applyNumberFormat="1" applyFont="1" applyFill="1" applyBorder="1" applyAlignment="1">
      <alignment wrapText="1"/>
    </xf>
    <xf numFmtId="49" fontId="2" fillId="3" borderId="1" xfId="6" quotePrefix="1" applyNumberFormat="1" applyFont="1" applyFill="1" applyBorder="1" applyAlignment="1">
      <alignment wrapText="1"/>
    </xf>
    <xf numFmtId="166" fontId="2" fillId="3" borderId="1" xfId="2" applyNumberFormat="1" applyAlignment="1">
      <alignment wrapText="1"/>
    </xf>
    <xf numFmtId="166" fontId="2" fillId="3" borderId="1" xfId="2" applyNumberFormat="1"/>
    <xf numFmtId="2" fontId="2" fillId="3" borderId="1" xfId="2" applyNumberFormat="1"/>
    <xf numFmtId="49" fontId="2" fillId="3" borderId="1" xfId="2" applyNumberFormat="1" applyAlignment="1">
      <alignment wrapText="1"/>
    </xf>
    <xf numFmtId="164" fontId="6" fillId="0" borderId="0" xfId="0" applyFont="1" applyAlignment="1">
      <alignment wrapText="1"/>
    </xf>
    <xf numFmtId="164" fontId="8"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9" fillId="8" borderId="0" xfId="8"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9" borderId="0" xfId="13" applyNumberFormat="1"/>
    <xf numFmtId="164" fontId="10" fillId="0" borderId="0" xfId="0" applyFont="1" applyAlignment="1"/>
    <xf numFmtId="164" fontId="1" fillId="2" borderId="1" xfId="1" applyNumberFormat="1"/>
    <xf numFmtId="164" fontId="6" fillId="5" borderId="2" xfId="4" applyNumberFormat="1" applyFont="1" applyAlignment="1">
      <alignment wrapText="1"/>
    </xf>
    <xf numFmtId="0" fontId="5" fillId="0" borderId="0" xfId="9"/>
    <xf numFmtId="167" fontId="5" fillId="0" borderId="0" xfId="9" applyNumberFormat="1"/>
    <xf numFmtId="164" fontId="0" fillId="0" borderId="0" xfId="0" quotePrefix="1"/>
    <xf numFmtId="164" fontId="0" fillId="7" borderId="1" xfId="7" applyNumberFormat="1" applyFont="1" applyBorder="1" applyAlignment="1">
      <alignment wrapText="1"/>
    </xf>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2" fontId="1" fillId="2" borderId="1" xfId="1" applyNumberFormat="1"/>
    <xf numFmtId="169" fontId="2" fillId="3" borderId="1" xfId="14" applyNumberFormat="1" applyFont="1" applyFill="1" applyBorder="1" applyAlignment="1">
      <alignment wrapText="1"/>
    </xf>
    <xf numFmtId="168" fontId="1" fillId="2" borderId="1" xfId="1" applyNumberFormat="1" applyAlignment="1">
      <alignment wrapText="1"/>
    </xf>
    <xf numFmtId="164" fontId="1" fillId="2" borderId="1" xfId="11" applyNumberFormat="1"/>
    <xf numFmtId="49" fontId="1" fillId="5" borderId="2" xfId="4" applyNumberFormat="1" applyFont="1" applyAlignment="1">
      <alignment wrapText="1"/>
    </xf>
    <xf numFmtId="49" fontId="1" fillId="2" borderId="1" xfId="1" quotePrefix="1" applyNumberFormat="1" applyAlignment="1">
      <alignment horizontal="right" wrapText="1"/>
    </xf>
  </cellXfs>
  <cellStyles count="15">
    <cellStyle name="20% - Accent3" xfId="5" builtinId="38"/>
    <cellStyle name="20% - Accent6" xfId="7" builtinId="50"/>
    <cellStyle name="Accent3" xfId="3" builtinId="37"/>
    <cellStyle name="Accent6" xfId="13" builtinId="49"/>
    <cellStyle name="Calculation" xfId="2" builtinId="22"/>
    <cellStyle name="Comma" xfId="14" builtinId="3"/>
    <cellStyle name="Currency" xfId="6" builtinId="4"/>
    <cellStyle name="Good" xfId="8" builtinId="26"/>
    <cellStyle name="Input" xfId="1" builtinId="20"/>
    <cellStyle name="Input 2" xfId="11"/>
    <cellStyle name="Normal" xfId="0" builtinId="0"/>
    <cellStyle name="Normal 2" xfId="9"/>
    <cellStyle name="Normal 3" xfId="10"/>
    <cellStyle name="Normal 4" xfId="12"/>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19050</xdr:rowOff>
        </xdr:from>
        <xdr:to>
          <xdr:col>0</xdr:col>
          <xdr:colOff>1657350</xdr:colOff>
          <xdr:row>0</xdr:row>
          <xdr:rowOff>762000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GenerateGreenButton Data Files</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J6" sqref="J6"/>
    </sheetView>
  </sheetViews>
  <sheetFormatPr defaultRowHeight="15" x14ac:dyDescent="0.25"/>
  <cols>
    <col min="1" max="1" width="111.140625" style="2" customWidth="1"/>
  </cols>
  <sheetData>
    <row r="1" spans="1:1" ht="18.75" x14ac:dyDescent="0.3">
      <c r="A1" s="43" t="s">
        <v>13</v>
      </c>
    </row>
    <row r="2" spans="1:1" ht="18.75" x14ac:dyDescent="0.3">
      <c r="A2" s="43" t="s">
        <v>79</v>
      </c>
    </row>
    <row r="3" spans="1:1" ht="18.75" x14ac:dyDescent="0.3">
      <c r="A3" s="43" t="s">
        <v>150</v>
      </c>
    </row>
    <row r="4" spans="1:1" ht="18.75" x14ac:dyDescent="0.3">
      <c r="A4" s="43" t="s">
        <v>49</v>
      </c>
    </row>
    <row r="5" spans="1:1" s="4" customFormat="1" x14ac:dyDescent="0.25">
      <c r="A5" s="5"/>
    </row>
    <row r="6" spans="1:1" ht="135" x14ac:dyDescent="0.25">
      <c r="A6" s="2" t="s">
        <v>53</v>
      </c>
    </row>
    <row r="8" spans="1:1" x14ac:dyDescent="0.25">
      <c r="A8" s="44" t="s">
        <v>52</v>
      </c>
    </row>
    <row r="9" spans="1:1" ht="105" x14ac:dyDescent="0.25">
      <c r="A9" s="2" t="s">
        <v>54</v>
      </c>
    </row>
    <row r="11" spans="1:1" x14ac:dyDescent="0.25">
      <c r="A11" s="44" t="s">
        <v>51</v>
      </c>
    </row>
    <row r="12" spans="1:1" ht="120" x14ac:dyDescent="0.25">
      <c r="A12" s="2" t="s">
        <v>39</v>
      </c>
    </row>
    <row r="14" spans="1:1" x14ac:dyDescent="0.25">
      <c r="A14" s="44" t="s">
        <v>77</v>
      </c>
    </row>
    <row r="15" spans="1:1" ht="30" x14ac:dyDescent="0.25">
      <c r="A15" s="2" t="s">
        <v>78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Y102"/>
  <sheetViews>
    <sheetView tabSelected="1" zoomScale="90" zoomScaleNormal="90" workbookViewId="0">
      <pane xSplit="1" ySplit="3" topLeftCell="B4" activePane="bottomRight" state="frozen"/>
      <selection pane="topRight" activeCell="B1" sqref="B1"/>
      <selection pane="bottomLeft" activeCell="A4" sqref="A4"/>
      <selection pane="bottomRight" activeCell="I29" sqref="I29"/>
    </sheetView>
  </sheetViews>
  <sheetFormatPr defaultRowHeight="15" x14ac:dyDescent="0.25"/>
  <cols>
    <col min="1" max="1" width="45.85546875" style="2" bestFit="1" customWidth="1"/>
    <col min="2" max="2" width="25.28515625" style="2" customWidth="1"/>
    <col min="3" max="3" width="26.7109375" customWidth="1"/>
    <col min="4" max="4" width="20.28515625" customWidth="1"/>
    <col min="5" max="5" width="26.28515625" customWidth="1"/>
    <col min="6" max="7" width="20.28515625" customWidth="1"/>
    <col min="8" max="8" width="24.42578125" customWidth="1"/>
    <col min="9" max="9" width="25.140625" customWidth="1"/>
    <col min="10" max="10" width="20.28515625" customWidth="1"/>
    <col min="11" max="20" width="21.42578125" customWidth="1"/>
    <col min="21" max="21" width="21.5703125" customWidth="1"/>
    <col min="22" max="22" width="32.140625" customWidth="1"/>
    <col min="23" max="24" width="29" customWidth="1"/>
    <col min="25" max="25" width="24" customWidth="1"/>
  </cols>
  <sheetData>
    <row r="1" spans="1:25" ht="74.25" customHeight="1" x14ac:dyDescent="0.25">
      <c r="A1" s="7">
        <f ca="1">NOW()</f>
        <v>41067.541393981483</v>
      </c>
    </row>
    <row r="2" spans="1:25" s="36" customFormat="1" ht="37.5" x14ac:dyDescent="0.3">
      <c r="A2" s="35" t="s">
        <v>3</v>
      </c>
      <c r="B2" s="35" t="s">
        <v>18</v>
      </c>
      <c r="C2" s="35"/>
      <c r="D2" s="35"/>
      <c r="E2" s="35"/>
    </row>
    <row r="3" spans="1:25" s="29" customFormat="1" x14ac:dyDescent="0.25">
      <c r="A3" s="27" t="s">
        <v>47</v>
      </c>
      <c r="B3" s="27" t="s">
        <v>48</v>
      </c>
      <c r="C3" s="27" t="s">
        <v>48</v>
      </c>
      <c r="D3" s="27" t="s">
        <v>48</v>
      </c>
      <c r="E3" s="27" t="s">
        <v>48</v>
      </c>
      <c r="F3" s="27" t="s">
        <v>48</v>
      </c>
      <c r="G3" s="27" t="s">
        <v>48</v>
      </c>
      <c r="H3" s="29" t="s">
        <v>48</v>
      </c>
      <c r="I3" s="29" t="s">
        <v>48</v>
      </c>
      <c r="J3" s="29" t="s">
        <v>48</v>
      </c>
      <c r="K3" s="29" t="s">
        <v>48</v>
      </c>
      <c r="L3" s="29" t="s">
        <v>48</v>
      </c>
      <c r="M3" s="29" t="s">
        <v>48</v>
      </c>
      <c r="N3" s="29" t="s">
        <v>48</v>
      </c>
      <c r="O3" s="29" t="s">
        <v>48</v>
      </c>
      <c r="P3" s="29" t="s">
        <v>48</v>
      </c>
      <c r="Q3" s="29" t="s">
        <v>48</v>
      </c>
      <c r="R3" s="29" t="s">
        <v>48</v>
      </c>
      <c r="S3" s="29" t="s">
        <v>48</v>
      </c>
      <c r="T3" s="29" t="s">
        <v>48</v>
      </c>
      <c r="U3" s="29" t="s">
        <v>48</v>
      </c>
      <c r="V3" s="29" t="s">
        <v>48</v>
      </c>
      <c r="W3" s="29" t="s">
        <v>48</v>
      </c>
      <c r="X3" s="29" t="s">
        <v>48</v>
      </c>
      <c r="Y3" s="29" t="s">
        <v>48</v>
      </c>
    </row>
    <row r="4" spans="1:25" s="30" customFormat="1" ht="18.75" x14ac:dyDescent="0.3">
      <c r="A4" s="26" t="s">
        <v>43</v>
      </c>
    </row>
    <row r="5" spans="1:25" s="30" customFormat="1" ht="18.75" x14ac:dyDescent="0.3">
      <c r="A5" s="26"/>
    </row>
    <row r="6" spans="1:25" s="31" customFormat="1" x14ac:dyDescent="0.25">
      <c r="A6" s="24" t="s">
        <v>41</v>
      </c>
      <c r="B6" s="21"/>
      <c r="C6" s="21"/>
      <c r="D6" s="21"/>
      <c r="E6" s="21"/>
      <c r="F6" s="21"/>
      <c r="G6" s="21"/>
      <c r="W6" s="21" t="s">
        <v>149</v>
      </c>
      <c r="X6" s="21" t="s">
        <v>129</v>
      </c>
      <c r="Y6" s="21" t="s">
        <v>130</v>
      </c>
    </row>
    <row r="7" spans="1:25" s="31" customFormat="1" ht="30" x14ac:dyDescent="0.25">
      <c r="A7" s="45" t="s">
        <v>55</v>
      </c>
      <c r="B7" s="21"/>
      <c r="C7" s="21"/>
      <c r="D7" s="21"/>
      <c r="E7" s="21"/>
      <c r="F7" s="21"/>
      <c r="G7" s="21"/>
      <c r="H7" s="25"/>
      <c r="I7" s="25"/>
      <c r="J7" s="25"/>
      <c r="W7" s="25">
        <v>1000</v>
      </c>
      <c r="X7" s="25">
        <v>1000</v>
      </c>
      <c r="Y7" s="25">
        <v>1000</v>
      </c>
    </row>
    <row r="8" spans="1:25" s="33" customFormat="1" ht="18.75" x14ac:dyDescent="0.3">
      <c r="A8" s="34" t="s">
        <v>44</v>
      </c>
    </row>
    <row r="9" spans="1:25" s="33" customFormat="1" ht="18.75" x14ac:dyDescent="0.3">
      <c r="A9" s="34"/>
    </row>
    <row r="10" spans="1:25" s="31" customFormat="1" x14ac:dyDescent="0.25">
      <c r="A10" s="32" t="s">
        <v>40</v>
      </c>
      <c r="B10" s="21" t="s">
        <v>87</v>
      </c>
      <c r="C10" s="21" t="s">
        <v>88</v>
      </c>
      <c r="D10" s="21" t="s">
        <v>89</v>
      </c>
      <c r="E10" s="31" t="s">
        <v>116</v>
      </c>
      <c r="F10" s="31" t="s">
        <v>90</v>
      </c>
      <c r="G10" s="31" t="s">
        <v>91</v>
      </c>
      <c r="H10" s="31" t="s">
        <v>92</v>
      </c>
      <c r="I10" s="31" t="s">
        <v>93</v>
      </c>
      <c r="J10" s="21" t="s">
        <v>102</v>
      </c>
      <c r="K10" s="31" t="s">
        <v>117</v>
      </c>
      <c r="L10" s="31" t="s">
        <v>118</v>
      </c>
      <c r="M10" s="31" t="s">
        <v>119</v>
      </c>
      <c r="N10" s="31" t="s">
        <v>120</v>
      </c>
      <c r="O10" s="31" t="s">
        <v>121</v>
      </c>
      <c r="P10" s="31" t="s">
        <v>122</v>
      </c>
      <c r="Q10" s="31" t="s">
        <v>123</v>
      </c>
      <c r="R10" s="31" t="s">
        <v>124</v>
      </c>
      <c r="S10" s="31" t="s">
        <v>125</v>
      </c>
      <c r="T10" s="31" t="s">
        <v>126</v>
      </c>
      <c r="U10" s="31" t="s">
        <v>127</v>
      </c>
      <c r="V10" s="31" t="s">
        <v>128</v>
      </c>
      <c r="W10" s="21"/>
      <c r="X10" s="21"/>
      <c r="Y10" s="66"/>
    </row>
    <row r="11" spans="1:25" s="31" customFormat="1" x14ac:dyDescent="0.25">
      <c r="A11" s="32" t="s">
        <v>35</v>
      </c>
      <c r="B11" s="8">
        <v>41000</v>
      </c>
      <c r="C11" s="8">
        <v>40969</v>
      </c>
      <c r="D11" s="8">
        <v>40969</v>
      </c>
      <c r="E11" s="8">
        <v>41000</v>
      </c>
      <c r="F11" s="8">
        <v>41000</v>
      </c>
      <c r="G11" s="8">
        <v>41000</v>
      </c>
      <c r="H11" s="8">
        <v>41000</v>
      </c>
      <c r="I11" s="8">
        <v>40634</v>
      </c>
      <c r="J11" s="8">
        <v>40909</v>
      </c>
      <c r="K11" s="8">
        <v>40544</v>
      </c>
      <c r="L11" s="8">
        <v>40575</v>
      </c>
      <c r="M11" s="8">
        <v>40603</v>
      </c>
      <c r="N11" s="8">
        <v>40634</v>
      </c>
      <c r="O11" s="8">
        <v>40664</v>
      </c>
      <c r="P11" s="8">
        <v>40695</v>
      </c>
      <c r="Q11" s="8">
        <v>40725</v>
      </c>
      <c r="R11" s="8">
        <v>40756</v>
      </c>
      <c r="S11" s="8">
        <v>40787</v>
      </c>
      <c r="T11" s="8">
        <v>40817</v>
      </c>
      <c r="U11" s="8">
        <v>40848</v>
      </c>
      <c r="V11" s="8">
        <v>40878</v>
      </c>
      <c r="W11" s="8"/>
      <c r="X11" s="8"/>
      <c r="Y11" s="8"/>
    </row>
    <row r="12" spans="1:25" s="31" customFormat="1" x14ac:dyDescent="0.25">
      <c r="A12" s="32" t="s">
        <v>36</v>
      </c>
      <c r="B12" s="18">
        <v>30</v>
      </c>
      <c r="C12" s="18">
        <v>13</v>
      </c>
      <c r="D12" s="18">
        <v>30</v>
      </c>
      <c r="E12" s="18">
        <v>30</v>
      </c>
      <c r="F12" s="18">
        <v>30</v>
      </c>
      <c r="G12" s="18">
        <v>30</v>
      </c>
      <c r="H12" s="18">
        <v>30</v>
      </c>
      <c r="I12" s="18">
        <v>30</v>
      </c>
      <c r="J12" s="18">
        <v>30</v>
      </c>
      <c r="K12" s="18">
        <v>31</v>
      </c>
      <c r="L12" s="18">
        <v>28</v>
      </c>
      <c r="M12" s="18">
        <v>31</v>
      </c>
      <c r="N12" s="18">
        <v>30</v>
      </c>
      <c r="O12" s="18">
        <v>31</v>
      </c>
      <c r="P12" s="18">
        <v>30</v>
      </c>
      <c r="Q12" s="18">
        <v>31</v>
      </c>
      <c r="R12" s="18">
        <v>31</v>
      </c>
      <c r="S12" s="18">
        <v>30</v>
      </c>
      <c r="T12" s="18">
        <v>31</v>
      </c>
      <c r="U12" s="18">
        <v>30</v>
      </c>
      <c r="V12" s="18">
        <v>31</v>
      </c>
      <c r="W12" s="18"/>
      <c r="X12" s="18"/>
      <c r="Y12" s="18"/>
    </row>
    <row r="13" spans="1:25" s="31" customFormat="1" x14ac:dyDescent="0.25">
      <c r="A13" s="32" t="s">
        <v>5</v>
      </c>
      <c r="B13" s="8">
        <v>41032</v>
      </c>
      <c r="C13" s="8">
        <v>40983</v>
      </c>
      <c r="D13" s="8">
        <v>41014</v>
      </c>
      <c r="E13" s="8">
        <v>41041</v>
      </c>
      <c r="F13" s="8">
        <v>41030</v>
      </c>
      <c r="G13" s="8">
        <v>41034</v>
      </c>
      <c r="H13" s="8">
        <v>41034</v>
      </c>
      <c r="I13" s="8">
        <v>41000</v>
      </c>
      <c r="J13" s="8">
        <v>41275</v>
      </c>
      <c r="K13" s="8">
        <v>40575</v>
      </c>
      <c r="L13" s="8">
        <v>40603</v>
      </c>
      <c r="M13" s="8">
        <v>40634</v>
      </c>
      <c r="N13" s="8">
        <v>40664</v>
      </c>
      <c r="O13" s="8">
        <v>40695</v>
      </c>
      <c r="P13" s="8">
        <v>40725</v>
      </c>
      <c r="Q13" s="8">
        <v>40756</v>
      </c>
      <c r="R13" s="8">
        <v>40787</v>
      </c>
      <c r="S13" s="8">
        <v>40817</v>
      </c>
      <c r="T13" s="8">
        <v>40848</v>
      </c>
      <c r="U13" s="8">
        <v>40878</v>
      </c>
      <c r="V13" s="8">
        <v>40909</v>
      </c>
      <c r="W13" s="8"/>
      <c r="X13" s="8"/>
      <c r="Y13" s="8"/>
    </row>
    <row r="14" spans="1:25" s="31" customFormat="1" x14ac:dyDescent="0.25">
      <c r="A14" s="32" t="s">
        <v>37</v>
      </c>
      <c r="B14" s="10">
        <v>2070000</v>
      </c>
      <c r="C14" s="10">
        <v>2790000</v>
      </c>
      <c r="D14" s="10">
        <v>1850000</v>
      </c>
      <c r="E14" s="10">
        <v>3730000</v>
      </c>
      <c r="F14" s="10">
        <v>3730000</v>
      </c>
      <c r="G14" s="10">
        <v>77800</v>
      </c>
      <c r="H14" s="10">
        <v>20000</v>
      </c>
      <c r="I14" s="10">
        <v>3730000</v>
      </c>
      <c r="J14" s="10">
        <v>1850000</v>
      </c>
      <c r="K14" s="10">
        <v>2070000</v>
      </c>
      <c r="L14" s="10">
        <v>2070000</v>
      </c>
      <c r="M14" s="10">
        <v>2070000</v>
      </c>
      <c r="N14" s="10">
        <v>2070000</v>
      </c>
      <c r="O14" s="10">
        <v>2070000</v>
      </c>
      <c r="P14" s="10">
        <v>2070000</v>
      </c>
      <c r="Q14" s="10">
        <v>2070000</v>
      </c>
      <c r="R14" s="10">
        <v>2070000</v>
      </c>
      <c r="S14" s="10">
        <v>2070000</v>
      </c>
      <c r="T14" s="10">
        <v>2070000</v>
      </c>
      <c r="U14" s="10">
        <v>2070000</v>
      </c>
      <c r="V14" s="10">
        <v>2070000</v>
      </c>
      <c r="W14" s="10"/>
      <c r="X14" s="10"/>
      <c r="Y14" s="10"/>
    </row>
    <row r="15" spans="1:25" s="31" customFormat="1" x14ac:dyDescent="0.25">
      <c r="A15" s="58" t="s">
        <v>106</v>
      </c>
      <c r="B15" s="65">
        <v>3.0000000000000001E-5</v>
      </c>
      <c r="C15" s="65">
        <v>3.0000000000000001E-5</v>
      </c>
      <c r="D15" s="65">
        <v>2.3E-5</v>
      </c>
      <c r="E15" s="65">
        <v>3.0000000000000001E-5</v>
      </c>
      <c r="F15" s="65">
        <v>3.0000000000000001E-5</v>
      </c>
      <c r="G15" s="65">
        <v>8.0000000000000004E-4</v>
      </c>
      <c r="H15" s="65">
        <v>5.1900000000000003E-6</v>
      </c>
      <c r="I15" s="65">
        <v>3.0000000000000001E-5</v>
      </c>
      <c r="J15" s="65">
        <v>2.3E-5</v>
      </c>
      <c r="K15" s="65">
        <v>3.0000000000000001E-5</v>
      </c>
      <c r="L15" s="65">
        <v>3.0000000000000001E-5</v>
      </c>
      <c r="M15" s="65">
        <v>3.0000000000000001E-5</v>
      </c>
      <c r="N15" s="65">
        <v>3.0000000000000001E-5</v>
      </c>
      <c r="O15" s="65">
        <v>3.0000000000000001E-5</v>
      </c>
      <c r="P15" s="65">
        <v>3.0000000000000001E-5</v>
      </c>
      <c r="Q15" s="65">
        <v>3.0000000000000001E-5</v>
      </c>
      <c r="R15" s="65">
        <v>3.0000000000000001E-5</v>
      </c>
      <c r="S15" s="65">
        <v>3.0000000000000001E-5</v>
      </c>
      <c r="T15" s="65">
        <v>3.0000000000000001E-5</v>
      </c>
      <c r="U15" s="65">
        <v>3.0000000000000001E-5</v>
      </c>
      <c r="V15" s="65">
        <v>3.0000000000000001E-5</v>
      </c>
      <c r="W15" s="65"/>
      <c r="X15" s="65"/>
      <c r="Y15" s="65"/>
    </row>
    <row r="16" spans="1:25" s="31" customFormat="1" x14ac:dyDescent="0.25">
      <c r="A16" s="32" t="s">
        <v>28</v>
      </c>
      <c r="B16" s="11">
        <v>13.46</v>
      </c>
      <c r="C16" s="11">
        <v>13.46</v>
      </c>
      <c r="D16" s="11">
        <v>45.25</v>
      </c>
      <c r="E16" s="11">
        <v>13.46</v>
      </c>
      <c r="F16" s="11">
        <v>13.46</v>
      </c>
      <c r="G16" s="11">
        <v>8.0399999999999991</v>
      </c>
      <c r="H16" s="11">
        <v>18.5</v>
      </c>
      <c r="I16" s="11">
        <v>13.46</v>
      </c>
      <c r="J16" s="11">
        <v>45.25</v>
      </c>
      <c r="K16" s="11">
        <v>13.46</v>
      </c>
      <c r="L16" s="11">
        <v>13.46</v>
      </c>
      <c r="M16" s="11">
        <v>13.46</v>
      </c>
      <c r="N16" s="11">
        <v>13.46</v>
      </c>
      <c r="O16" s="11">
        <v>13.46</v>
      </c>
      <c r="P16" s="11">
        <v>13.46</v>
      </c>
      <c r="Q16" s="11">
        <v>13.46</v>
      </c>
      <c r="R16" s="11">
        <v>13.46</v>
      </c>
      <c r="S16" s="11">
        <v>13.46</v>
      </c>
      <c r="T16" s="11">
        <v>13.46</v>
      </c>
      <c r="U16" s="11">
        <v>13.46</v>
      </c>
      <c r="V16" s="11">
        <v>13.46</v>
      </c>
      <c r="W16" s="11"/>
      <c r="X16" s="11"/>
      <c r="Y16" s="11"/>
    </row>
    <row r="17" spans="1:25" s="31" customFormat="1" x14ac:dyDescent="0.25">
      <c r="A17" s="32" t="s">
        <v>25</v>
      </c>
      <c r="B17" s="11" t="s">
        <v>94</v>
      </c>
      <c r="C17" s="11" t="s">
        <v>95</v>
      </c>
      <c r="D17" s="11" t="s">
        <v>96</v>
      </c>
      <c r="E17" s="11" t="s">
        <v>94</v>
      </c>
      <c r="F17" s="11" t="s">
        <v>94</v>
      </c>
      <c r="G17" s="11" t="s">
        <v>97</v>
      </c>
      <c r="H17" s="11" t="s">
        <v>94</v>
      </c>
      <c r="I17" s="11" t="s">
        <v>94</v>
      </c>
      <c r="J17" s="11" t="s">
        <v>96</v>
      </c>
      <c r="K17" s="11" t="s">
        <v>94</v>
      </c>
      <c r="L17" s="11" t="s">
        <v>94</v>
      </c>
      <c r="M17" s="11" t="s">
        <v>94</v>
      </c>
      <c r="N17" s="11" t="s">
        <v>94</v>
      </c>
      <c r="O17" s="11" t="s">
        <v>94</v>
      </c>
      <c r="P17" s="11" t="s">
        <v>94</v>
      </c>
      <c r="Q17" s="11" t="s">
        <v>94</v>
      </c>
      <c r="R17" s="11" t="s">
        <v>94</v>
      </c>
      <c r="S17" s="11" t="s">
        <v>94</v>
      </c>
      <c r="T17" s="11" t="s">
        <v>94</v>
      </c>
      <c r="U17" s="11" t="s">
        <v>94</v>
      </c>
      <c r="V17" s="11" t="s">
        <v>94</v>
      </c>
      <c r="W17" s="11"/>
      <c r="X17" s="11"/>
      <c r="Y17" s="11"/>
    </row>
    <row r="18" spans="1:25" s="31" customFormat="1" x14ac:dyDescent="0.25">
      <c r="A18" s="32" t="s">
        <v>46</v>
      </c>
      <c r="B18" s="11" t="s">
        <v>50</v>
      </c>
      <c r="C18" s="11" t="s">
        <v>50</v>
      </c>
      <c r="D18" s="11" t="s">
        <v>50</v>
      </c>
      <c r="E18" s="11" t="s">
        <v>50</v>
      </c>
      <c r="F18" s="11" t="s">
        <v>50</v>
      </c>
      <c r="G18" s="11" t="s">
        <v>50</v>
      </c>
      <c r="H18" s="11" t="s">
        <v>50</v>
      </c>
      <c r="I18" s="11" t="s">
        <v>50</v>
      </c>
      <c r="J18" s="11" t="s">
        <v>50</v>
      </c>
      <c r="K18" s="11" t="s">
        <v>50</v>
      </c>
      <c r="L18" s="11" t="s">
        <v>50</v>
      </c>
      <c r="M18" s="11" t="s">
        <v>50</v>
      </c>
      <c r="N18" s="11" t="s">
        <v>50</v>
      </c>
      <c r="O18" s="11" t="s">
        <v>50</v>
      </c>
      <c r="P18" s="11" t="s">
        <v>50</v>
      </c>
      <c r="Q18" s="11" t="s">
        <v>50</v>
      </c>
      <c r="R18" s="11" t="s">
        <v>50</v>
      </c>
      <c r="S18" s="11" t="s">
        <v>50</v>
      </c>
      <c r="T18" s="11" t="s">
        <v>50</v>
      </c>
      <c r="U18" s="11" t="s">
        <v>50</v>
      </c>
      <c r="V18" s="11" t="s">
        <v>50</v>
      </c>
      <c r="W18" s="11"/>
      <c r="X18" s="11"/>
      <c r="Y18" s="11"/>
    </row>
    <row r="19" spans="1:25" s="53" customFormat="1" ht="18.75" x14ac:dyDescent="0.3">
      <c r="A19" s="54" t="s">
        <v>45</v>
      </c>
    </row>
    <row r="20" spans="1:25" s="53" customFormat="1" x14ac:dyDescent="0.25">
      <c r="A20" s="23" t="s">
        <v>108</v>
      </c>
      <c r="B20" s="53" t="s">
        <v>109</v>
      </c>
      <c r="C20" s="53" t="s">
        <v>110</v>
      </c>
      <c r="D20" s="53" t="s">
        <v>111</v>
      </c>
      <c r="E20" s="53" t="s">
        <v>112</v>
      </c>
      <c r="F20" s="53" t="s">
        <v>109</v>
      </c>
      <c r="G20" s="53" t="s">
        <v>113</v>
      </c>
      <c r="H20" s="53" t="s">
        <v>114</v>
      </c>
      <c r="I20" s="53" t="s">
        <v>109</v>
      </c>
      <c r="J20" s="53" t="s">
        <v>111</v>
      </c>
      <c r="K20" s="53" t="s">
        <v>109</v>
      </c>
      <c r="L20" s="53" t="s">
        <v>109</v>
      </c>
      <c r="M20" s="53" t="s">
        <v>109</v>
      </c>
      <c r="N20" s="53" t="s">
        <v>109</v>
      </c>
      <c r="O20" s="53" t="s">
        <v>109</v>
      </c>
      <c r="P20" s="53" t="s">
        <v>109</v>
      </c>
      <c r="Q20" s="53" t="s">
        <v>109</v>
      </c>
      <c r="R20" s="53" t="s">
        <v>109</v>
      </c>
      <c r="S20" s="53" t="s">
        <v>109</v>
      </c>
      <c r="T20" s="53" t="s">
        <v>109</v>
      </c>
      <c r="U20" s="53" t="s">
        <v>109</v>
      </c>
      <c r="V20" s="53" t="s">
        <v>109</v>
      </c>
      <c r="W20" s="53" t="s">
        <v>109</v>
      </c>
      <c r="X20" s="53" t="s">
        <v>109</v>
      </c>
      <c r="Y20" s="53" t="s">
        <v>109</v>
      </c>
    </row>
    <row r="21" spans="1:25" s="31" customFormat="1" ht="30" x14ac:dyDescent="0.25">
      <c r="A21" s="23" t="s">
        <v>74</v>
      </c>
      <c r="B21" s="12" t="s">
        <v>75</v>
      </c>
      <c r="C21" s="12" t="s">
        <v>75</v>
      </c>
      <c r="D21" s="12" t="s">
        <v>75</v>
      </c>
      <c r="E21" s="12" t="s">
        <v>75</v>
      </c>
      <c r="F21" s="12" t="s">
        <v>75</v>
      </c>
      <c r="G21" s="12" t="s">
        <v>75</v>
      </c>
      <c r="H21" s="12" t="s">
        <v>75</v>
      </c>
      <c r="I21" s="12" t="s">
        <v>75</v>
      </c>
      <c r="J21" s="12" t="s">
        <v>75</v>
      </c>
      <c r="K21" s="12" t="s">
        <v>75</v>
      </c>
      <c r="L21" s="12" t="s">
        <v>75</v>
      </c>
      <c r="M21" s="12" t="s">
        <v>75</v>
      </c>
      <c r="N21" s="12" t="s">
        <v>75</v>
      </c>
      <c r="O21" s="12" t="s">
        <v>75</v>
      </c>
      <c r="P21" s="12" t="s">
        <v>75</v>
      </c>
      <c r="Q21" s="12" t="s">
        <v>75</v>
      </c>
      <c r="R21" s="12" t="s">
        <v>75</v>
      </c>
      <c r="S21" s="12" t="s">
        <v>75</v>
      </c>
      <c r="T21" s="12" t="s">
        <v>75</v>
      </c>
      <c r="U21" s="12" t="s">
        <v>75</v>
      </c>
      <c r="V21" s="12" t="s">
        <v>75</v>
      </c>
      <c r="W21" s="12" t="s">
        <v>75</v>
      </c>
      <c r="X21" s="12" t="s">
        <v>75</v>
      </c>
      <c r="Y21" s="12" t="s">
        <v>75</v>
      </c>
    </row>
    <row r="22" spans="1:25" s="31" customFormat="1" x14ac:dyDescent="0.25">
      <c r="A22" s="23" t="s">
        <v>57</v>
      </c>
      <c r="B22" s="12">
        <v>-18000</v>
      </c>
      <c r="C22" s="12">
        <v>-18000</v>
      </c>
      <c r="D22" s="12">
        <v>-18000</v>
      </c>
      <c r="E22" s="12">
        <v>-18000</v>
      </c>
      <c r="F22" s="12">
        <v>-18000</v>
      </c>
      <c r="G22" s="12">
        <v>-18000</v>
      </c>
      <c r="H22" s="12">
        <v>-18000</v>
      </c>
      <c r="I22" s="12">
        <v>-18000</v>
      </c>
      <c r="J22" s="12">
        <v>-18000</v>
      </c>
      <c r="K22" s="12">
        <v>-18000</v>
      </c>
      <c r="L22" s="12">
        <v>-18000</v>
      </c>
      <c r="M22" s="12">
        <v>-18000</v>
      </c>
      <c r="N22" s="12">
        <v>-18000</v>
      </c>
      <c r="O22" s="12">
        <v>-18000</v>
      </c>
      <c r="P22" s="12">
        <v>-18000</v>
      </c>
      <c r="Q22" s="12">
        <v>-18000</v>
      </c>
      <c r="R22" s="12">
        <v>-18000</v>
      </c>
      <c r="S22" s="12">
        <v>-18000</v>
      </c>
      <c r="T22" s="12">
        <v>-18000</v>
      </c>
      <c r="U22" s="12">
        <v>-18000</v>
      </c>
      <c r="V22" s="12">
        <v>-18000</v>
      </c>
      <c r="W22" s="12">
        <f>3600*(-8)</f>
        <v>-28800</v>
      </c>
      <c r="X22" s="12">
        <f>3600*(-8)</f>
        <v>-28800</v>
      </c>
      <c r="Y22" s="12">
        <f>3600*(-8)</f>
        <v>-28800</v>
      </c>
    </row>
    <row r="23" spans="1:25" s="31" customFormat="1" x14ac:dyDescent="0.25">
      <c r="A23" s="23" t="s">
        <v>83</v>
      </c>
      <c r="B23" s="12">
        <v>3600</v>
      </c>
      <c r="C23" s="12">
        <v>3600</v>
      </c>
      <c r="D23" s="12">
        <v>3600</v>
      </c>
      <c r="E23" s="12">
        <v>3600</v>
      </c>
      <c r="F23" s="12">
        <v>3600</v>
      </c>
      <c r="G23" s="12">
        <v>3600</v>
      </c>
      <c r="H23" s="12">
        <v>3600</v>
      </c>
      <c r="I23" s="12">
        <v>3600</v>
      </c>
      <c r="J23" s="12">
        <v>3600</v>
      </c>
      <c r="K23" s="12">
        <v>3600</v>
      </c>
      <c r="L23" s="12">
        <v>3600</v>
      </c>
      <c r="M23" s="12">
        <v>3600</v>
      </c>
      <c r="N23" s="12">
        <v>3600</v>
      </c>
      <c r="O23" s="12">
        <v>3600</v>
      </c>
      <c r="P23" s="12">
        <v>3600</v>
      </c>
      <c r="Q23" s="12">
        <v>3600</v>
      </c>
      <c r="R23" s="12">
        <v>3600</v>
      </c>
      <c r="S23" s="12">
        <v>3600</v>
      </c>
      <c r="T23" s="12">
        <v>3600</v>
      </c>
      <c r="U23" s="12">
        <v>3600</v>
      </c>
      <c r="V23" s="12">
        <v>3600</v>
      </c>
      <c r="W23" s="12">
        <v>3600</v>
      </c>
      <c r="X23" s="12">
        <v>3600</v>
      </c>
      <c r="Y23" s="12">
        <v>3600</v>
      </c>
    </row>
    <row r="24" spans="1:25" s="31" customFormat="1" x14ac:dyDescent="0.25">
      <c r="A24" s="23" t="s">
        <v>72</v>
      </c>
      <c r="B24" s="49" t="s">
        <v>71</v>
      </c>
      <c r="C24" s="49" t="s">
        <v>71</v>
      </c>
      <c r="D24" s="49" t="s">
        <v>71</v>
      </c>
      <c r="E24" s="49" t="s">
        <v>71</v>
      </c>
      <c r="F24" s="49" t="s">
        <v>71</v>
      </c>
      <c r="G24" s="49" t="s">
        <v>71</v>
      </c>
      <c r="H24" s="49" t="s">
        <v>71</v>
      </c>
      <c r="I24" s="49" t="s">
        <v>71</v>
      </c>
      <c r="J24" s="49" t="s">
        <v>71</v>
      </c>
      <c r="K24" s="49" t="s">
        <v>71</v>
      </c>
      <c r="L24" s="49" t="s">
        <v>71</v>
      </c>
      <c r="M24" s="49" t="s">
        <v>71</v>
      </c>
      <c r="N24" s="49" t="s">
        <v>71</v>
      </c>
      <c r="O24" s="49" t="s">
        <v>71</v>
      </c>
      <c r="P24" s="49" t="s">
        <v>71</v>
      </c>
      <c r="Q24" s="49" t="s">
        <v>71</v>
      </c>
      <c r="R24" s="49" t="s">
        <v>71</v>
      </c>
      <c r="S24" s="49" t="s">
        <v>71</v>
      </c>
      <c r="T24" s="49" t="s">
        <v>71</v>
      </c>
      <c r="U24" s="49" t="s">
        <v>71</v>
      </c>
      <c r="V24" s="49" t="s">
        <v>71</v>
      </c>
      <c r="W24" s="49" t="s">
        <v>71</v>
      </c>
      <c r="X24" s="49" t="s">
        <v>71</v>
      </c>
      <c r="Y24" s="49" t="s">
        <v>71</v>
      </c>
    </row>
    <row r="25" spans="1:25" s="31" customFormat="1" x14ac:dyDescent="0.25">
      <c r="A25" s="23" t="s">
        <v>73</v>
      </c>
      <c r="B25" s="49" t="s">
        <v>82</v>
      </c>
      <c r="C25" s="49" t="s">
        <v>82</v>
      </c>
      <c r="D25" s="49" t="s">
        <v>82</v>
      </c>
      <c r="E25" s="49" t="s">
        <v>82</v>
      </c>
      <c r="F25" s="49" t="s">
        <v>82</v>
      </c>
      <c r="G25" s="49" t="s">
        <v>82</v>
      </c>
      <c r="H25" s="49" t="s">
        <v>82</v>
      </c>
      <c r="I25" s="49" t="s">
        <v>82</v>
      </c>
      <c r="J25" s="49" t="s">
        <v>82</v>
      </c>
      <c r="K25" s="49" t="s">
        <v>82</v>
      </c>
      <c r="L25" s="49" t="s">
        <v>82</v>
      </c>
      <c r="M25" s="49" t="s">
        <v>82</v>
      </c>
      <c r="N25" s="49" t="s">
        <v>82</v>
      </c>
      <c r="O25" s="49" t="s">
        <v>82</v>
      </c>
      <c r="P25" s="49" t="s">
        <v>82</v>
      </c>
      <c r="Q25" s="49" t="s">
        <v>82</v>
      </c>
      <c r="R25" s="49" t="s">
        <v>82</v>
      </c>
      <c r="S25" s="49" t="s">
        <v>82</v>
      </c>
      <c r="T25" s="49" t="s">
        <v>82</v>
      </c>
      <c r="U25" s="49" t="s">
        <v>82</v>
      </c>
      <c r="V25" s="49" t="s">
        <v>82</v>
      </c>
      <c r="W25" s="49" t="s">
        <v>82</v>
      </c>
      <c r="X25" s="49" t="s">
        <v>82</v>
      </c>
      <c r="Y25" s="49" t="s">
        <v>82</v>
      </c>
    </row>
    <row r="26" spans="1:25" s="31" customFormat="1" x14ac:dyDescent="0.25">
      <c r="A26" s="23" t="s">
        <v>42</v>
      </c>
      <c r="B26" s="12">
        <v>1</v>
      </c>
      <c r="C26" s="12">
        <v>1</v>
      </c>
      <c r="D26" s="12">
        <v>1</v>
      </c>
      <c r="E26" s="12">
        <v>1</v>
      </c>
      <c r="F26" s="12">
        <v>1</v>
      </c>
      <c r="G26" s="12">
        <v>1</v>
      </c>
      <c r="H26" s="12">
        <v>1</v>
      </c>
      <c r="I26" s="12">
        <v>1</v>
      </c>
      <c r="J26" s="12">
        <v>1</v>
      </c>
      <c r="K26" s="12">
        <v>1</v>
      </c>
      <c r="L26" s="12">
        <v>1</v>
      </c>
      <c r="M26" s="12">
        <v>1</v>
      </c>
      <c r="N26" s="12">
        <v>1</v>
      </c>
      <c r="O26" s="12">
        <v>1</v>
      </c>
      <c r="P26" s="12">
        <v>1</v>
      </c>
      <c r="Q26" s="12">
        <v>1</v>
      </c>
      <c r="R26" s="12">
        <v>1</v>
      </c>
      <c r="S26" s="12">
        <v>1</v>
      </c>
      <c r="T26" s="12">
        <v>1</v>
      </c>
      <c r="U26" s="12">
        <v>1</v>
      </c>
      <c r="V26" s="12">
        <v>1</v>
      </c>
      <c r="W26" s="12">
        <v>1</v>
      </c>
      <c r="X26" s="12">
        <v>1</v>
      </c>
      <c r="Y26" s="12">
        <v>1</v>
      </c>
    </row>
    <row r="27" spans="1:25" s="31" customFormat="1" x14ac:dyDescent="0.25">
      <c r="A27" s="23" t="s">
        <v>23</v>
      </c>
      <c r="B27" s="18">
        <v>3600</v>
      </c>
      <c r="C27" s="18">
        <v>900</v>
      </c>
      <c r="D27" s="18">
        <v>86400</v>
      </c>
      <c r="E27" s="18">
        <f>31*24*3600</f>
        <v>2678400</v>
      </c>
      <c r="F27" s="18">
        <v>3600</v>
      </c>
      <c r="G27" s="18">
        <v>3600</v>
      </c>
      <c r="H27" s="18">
        <f>31*24*3600</f>
        <v>2678400</v>
      </c>
      <c r="I27" s="18">
        <v>86400</v>
      </c>
      <c r="J27" s="18">
        <v>86400</v>
      </c>
      <c r="K27" s="18">
        <v>3600</v>
      </c>
      <c r="L27" s="18">
        <v>3600</v>
      </c>
      <c r="M27" s="18">
        <v>3600</v>
      </c>
      <c r="N27" s="18">
        <v>3600</v>
      </c>
      <c r="O27" s="18">
        <v>3600</v>
      </c>
      <c r="P27" s="18">
        <v>3600</v>
      </c>
      <c r="Q27" s="18">
        <v>3600</v>
      </c>
      <c r="R27" s="18">
        <v>3600</v>
      </c>
      <c r="S27" s="18">
        <v>3600</v>
      </c>
      <c r="T27" s="18">
        <v>3600</v>
      </c>
      <c r="U27" s="18">
        <v>3600</v>
      </c>
      <c r="V27" s="18">
        <v>3600</v>
      </c>
      <c r="W27" s="18">
        <v>3600</v>
      </c>
      <c r="X27" s="18">
        <v>3600</v>
      </c>
      <c r="Y27" s="18">
        <v>3600</v>
      </c>
    </row>
    <row r="28" spans="1:25" s="31" customFormat="1" x14ac:dyDescent="0.25">
      <c r="A28" s="23" t="s">
        <v>80</v>
      </c>
      <c r="B28" s="50">
        <v>86400</v>
      </c>
      <c r="C28" s="50" t="s">
        <v>101</v>
      </c>
      <c r="D28" s="50" t="s">
        <v>101</v>
      </c>
      <c r="E28" s="50" t="s">
        <v>86</v>
      </c>
      <c r="F28" s="50">
        <v>86400</v>
      </c>
      <c r="G28" s="50" t="s">
        <v>101</v>
      </c>
      <c r="H28" s="50" t="s">
        <v>86</v>
      </c>
      <c r="I28" s="50" t="s">
        <v>86</v>
      </c>
      <c r="J28" s="50" t="s">
        <v>101</v>
      </c>
      <c r="K28" s="50" t="s">
        <v>101</v>
      </c>
      <c r="L28" s="50" t="s">
        <v>101</v>
      </c>
      <c r="M28" s="50" t="s">
        <v>101</v>
      </c>
      <c r="N28" s="50" t="s">
        <v>101</v>
      </c>
      <c r="O28" s="50" t="s">
        <v>101</v>
      </c>
      <c r="P28" s="50" t="s">
        <v>101</v>
      </c>
      <c r="Q28" s="50" t="s">
        <v>101</v>
      </c>
      <c r="R28" s="50" t="s">
        <v>101</v>
      </c>
      <c r="S28" s="50" t="s">
        <v>101</v>
      </c>
      <c r="T28" s="50" t="s">
        <v>101</v>
      </c>
      <c r="U28" s="50" t="s">
        <v>101</v>
      </c>
      <c r="V28" s="50" t="s">
        <v>101</v>
      </c>
      <c r="W28" s="50" t="s">
        <v>86</v>
      </c>
      <c r="X28" s="50" t="s">
        <v>101</v>
      </c>
      <c r="Y28" s="50">
        <v>43200</v>
      </c>
    </row>
    <row r="29" spans="1:25" s="31" customFormat="1" x14ac:dyDescent="0.25">
      <c r="A29" s="23" t="s">
        <v>131</v>
      </c>
      <c r="B29" s="50"/>
      <c r="C29" s="50"/>
      <c r="D29" s="50"/>
      <c r="E29" s="50"/>
      <c r="F29" s="50"/>
      <c r="G29" s="50"/>
      <c r="H29" s="50"/>
      <c r="I29" s="50"/>
      <c r="J29" s="50"/>
      <c r="K29" s="50"/>
      <c r="L29" s="50"/>
      <c r="M29" s="50"/>
      <c r="N29" s="50"/>
      <c r="O29" s="50"/>
      <c r="P29" s="50"/>
      <c r="Q29" s="50"/>
      <c r="R29" s="50"/>
      <c r="S29" s="50"/>
      <c r="T29" s="50"/>
      <c r="U29" s="50"/>
      <c r="V29" s="50"/>
      <c r="W29" s="50"/>
      <c r="X29" s="50"/>
      <c r="Y29" s="50"/>
    </row>
    <row r="30" spans="1:25" s="31" customFormat="1" x14ac:dyDescent="0.25">
      <c r="A30" s="23" t="s">
        <v>132</v>
      </c>
      <c r="B30" s="12">
        <v>0</v>
      </c>
      <c r="C30" s="12">
        <v>0</v>
      </c>
      <c r="D30" s="12">
        <v>0</v>
      </c>
      <c r="E30" s="12">
        <v>0</v>
      </c>
      <c r="F30" s="12">
        <v>0</v>
      </c>
      <c r="G30" s="12">
        <v>-3</v>
      </c>
      <c r="H30" s="12">
        <v>3</v>
      </c>
      <c r="I30" s="12">
        <v>0</v>
      </c>
      <c r="J30" s="12">
        <v>0</v>
      </c>
      <c r="K30" s="12">
        <v>0</v>
      </c>
      <c r="L30" s="12">
        <v>0</v>
      </c>
      <c r="M30" s="12">
        <v>0</v>
      </c>
      <c r="N30" s="12">
        <v>0</v>
      </c>
      <c r="O30" s="12">
        <v>0</v>
      </c>
      <c r="P30" s="12">
        <v>0</v>
      </c>
      <c r="Q30" s="12">
        <v>0</v>
      </c>
      <c r="R30" s="12">
        <v>0</v>
      </c>
      <c r="S30" s="12">
        <v>0</v>
      </c>
      <c r="T30" s="12">
        <v>0</v>
      </c>
      <c r="U30" s="12">
        <v>0</v>
      </c>
      <c r="V30" s="12">
        <v>0</v>
      </c>
      <c r="W30" s="12">
        <v>0</v>
      </c>
      <c r="X30" s="12">
        <v>0</v>
      </c>
      <c r="Y30" s="12">
        <v>0</v>
      </c>
    </row>
    <row r="31" spans="1:25" s="31" customFormat="1" x14ac:dyDescent="0.25">
      <c r="A31" s="23" t="s">
        <v>133</v>
      </c>
      <c r="B31" s="13">
        <v>0</v>
      </c>
      <c r="C31" s="13">
        <v>0</v>
      </c>
      <c r="D31" s="13">
        <v>0</v>
      </c>
      <c r="E31" s="13">
        <v>0</v>
      </c>
      <c r="F31" s="13">
        <v>0</v>
      </c>
      <c r="G31" s="13">
        <v>1</v>
      </c>
      <c r="H31" s="13">
        <v>2</v>
      </c>
      <c r="I31" s="13">
        <v>0</v>
      </c>
      <c r="J31" s="13">
        <v>0</v>
      </c>
      <c r="K31" s="13">
        <v>0</v>
      </c>
      <c r="L31" s="13">
        <v>0</v>
      </c>
      <c r="M31" s="13">
        <v>0</v>
      </c>
      <c r="N31" s="13">
        <v>0</v>
      </c>
      <c r="O31" s="13">
        <v>0</v>
      </c>
      <c r="P31" s="13">
        <v>0</v>
      </c>
      <c r="Q31" s="13">
        <v>0</v>
      </c>
      <c r="R31" s="13">
        <v>0</v>
      </c>
      <c r="S31" s="13">
        <v>0</v>
      </c>
      <c r="T31" s="13">
        <v>0</v>
      </c>
      <c r="U31" s="13">
        <v>0</v>
      </c>
      <c r="V31" s="13">
        <v>0</v>
      </c>
      <c r="W31" s="13">
        <v>0</v>
      </c>
      <c r="X31" s="13">
        <v>0</v>
      </c>
      <c r="Y31" s="13">
        <v>0</v>
      </c>
    </row>
    <row r="32" spans="1:25" s="31" customFormat="1" x14ac:dyDescent="0.25">
      <c r="A32" s="23" t="s">
        <v>134</v>
      </c>
      <c r="B32" s="13">
        <v>72</v>
      </c>
      <c r="C32" s="13">
        <v>72</v>
      </c>
      <c r="D32" s="13">
        <v>72</v>
      </c>
      <c r="E32" s="13">
        <v>72</v>
      </c>
      <c r="F32" s="13">
        <v>72</v>
      </c>
      <c r="G32" s="13">
        <v>169</v>
      </c>
      <c r="H32" s="13">
        <v>128</v>
      </c>
      <c r="I32" s="13">
        <v>72</v>
      </c>
      <c r="J32" s="13">
        <v>72</v>
      </c>
      <c r="K32" s="13">
        <v>72</v>
      </c>
      <c r="L32" s="13">
        <v>72</v>
      </c>
      <c r="M32" s="13">
        <v>72</v>
      </c>
      <c r="N32" s="13">
        <v>72</v>
      </c>
      <c r="O32" s="13">
        <v>72</v>
      </c>
      <c r="P32" s="13">
        <v>72</v>
      </c>
      <c r="Q32" s="13">
        <v>72</v>
      </c>
      <c r="R32" s="13">
        <v>72</v>
      </c>
      <c r="S32" s="13">
        <v>72</v>
      </c>
      <c r="T32" s="13">
        <v>72</v>
      </c>
      <c r="U32" s="13">
        <v>72</v>
      </c>
      <c r="V32" s="13">
        <v>72</v>
      </c>
      <c r="W32" s="63">
        <v>72</v>
      </c>
      <c r="X32" s="63">
        <v>72</v>
      </c>
      <c r="Y32" s="63">
        <v>72</v>
      </c>
    </row>
    <row r="33" spans="1:25" s="31" customFormat="1" x14ac:dyDescent="0.25">
      <c r="A33" s="23" t="s">
        <v>135</v>
      </c>
      <c r="B33" s="13">
        <v>4</v>
      </c>
      <c r="C33" s="13">
        <v>4</v>
      </c>
      <c r="D33" s="13">
        <v>4</v>
      </c>
      <c r="E33" s="13">
        <v>4</v>
      </c>
      <c r="F33" s="13">
        <v>4</v>
      </c>
      <c r="G33" s="13">
        <v>4</v>
      </c>
      <c r="H33" s="13">
        <v>4</v>
      </c>
      <c r="I33" s="13">
        <v>4</v>
      </c>
      <c r="J33" s="13">
        <v>4</v>
      </c>
      <c r="K33" s="13">
        <v>4</v>
      </c>
      <c r="L33" s="13">
        <v>4</v>
      </c>
      <c r="M33" s="13">
        <v>4</v>
      </c>
      <c r="N33" s="13">
        <v>4</v>
      </c>
      <c r="O33" s="13">
        <v>4</v>
      </c>
      <c r="P33" s="13">
        <v>4</v>
      </c>
      <c r="Q33" s="13">
        <v>4</v>
      </c>
      <c r="R33" s="13">
        <v>4</v>
      </c>
      <c r="S33" s="13">
        <v>4</v>
      </c>
      <c r="T33" s="13">
        <v>4</v>
      </c>
      <c r="U33" s="13">
        <v>4</v>
      </c>
      <c r="V33" s="13">
        <v>4</v>
      </c>
      <c r="W33" s="13">
        <v>4</v>
      </c>
      <c r="X33" s="13">
        <v>4</v>
      </c>
      <c r="Y33" s="13">
        <v>4</v>
      </c>
    </row>
    <row r="34" spans="1:25" s="31" customFormat="1" x14ac:dyDescent="0.25">
      <c r="A34" s="23" t="s">
        <v>136</v>
      </c>
      <c r="B34" s="13">
        <v>1</v>
      </c>
      <c r="C34" s="13">
        <v>1</v>
      </c>
      <c r="D34" s="13">
        <v>1</v>
      </c>
      <c r="E34" s="13">
        <v>1</v>
      </c>
      <c r="F34" s="13">
        <v>1</v>
      </c>
      <c r="G34" s="13">
        <v>7</v>
      </c>
      <c r="H34" s="13">
        <v>9</v>
      </c>
      <c r="I34" s="13">
        <v>1</v>
      </c>
      <c r="J34" s="13">
        <v>1</v>
      </c>
      <c r="K34" s="13">
        <v>1</v>
      </c>
      <c r="L34" s="13">
        <v>1</v>
      </c>
      <c r="M34" s="13">
        <v>1</v>
      </c>
      <c r="N34" s="13">
        <v>1</v>
      </c>
      <c r="O34" s="13">
        <v>1</v>
      </c>
      <c r="P34" s="13">
        <v>1</v>
      </c>
      <c r="Q34" s="13">
        <v>1</v>
      </c>
      <c r="R34" s="13">
        <v>1</v>
      </c>
      <c r="S34" s="13">
        <v>1</v>
      </c>
      <c r="T34" s="13">
        <v>1</v>
      </c>
      <c r="U34" s="13">
        <v>1</v>
      </c>
      <c r="V34" s="13">
        <v>1</v>
      </c>
      <c r="W34" s="13">
        <v>1</v>
      </c>
      <c r="X34" s="13">
        <v>1</v>
      </c>
      <c r="Y34" s="13">
        <v>1</v>
      </c>
    </row>
    <row r="35" spans="1:25" s="31" customFormat="1" x14ac:dyDescent="0.25">
      <c r="A35" s="23" t="s">
        <v>137</v>
      </c>
      <c r="B35" s="13">
        <v>12</v>
      </c>
      <c r="C35" s="13">
        <v>12</v>
      </c>
      <c r="D35" s="13">
        <v>12</v>
      </c>
      <c r="E35" s="13">
        <v>12</v>
      </c>
      <c r="F35" s="13">
        <v>12</v>
      </c>
      <c r="G35" s="13">
        <v>12</v>
      </c>
      <c r="H35" s="13">
        <v>12</v>
      </c>
      <c r="I35" s="13">
        <v>12</v>
      </c>
      <c r="J35" s="13">
        <v>12</v>
      </c>
      <c r="K35" s="13">
        <v>12</v>
      </c>
      <c r="L35" s="13">
        <v>12</v>
      </c>
      <c r="M35" s="13">
        <v>12</v>
      </c>
      <c r="N35" s="13">
        <v>12</v>
      </c>
      <c r="O35" s="13">
        <v>12</v>
      </c>
      <c r="P35" s="13">
        <v>12</v>
      </c>
      <c r="Q35" s="13">
        <v>12</v>
      </c>
      <c r="R35" s="13">
        <v>12</v>
      </c>
      <c r="S35" s="13">
        <v>12</v>
      </c>
      <c r="T35" s="13">
        <v>12</v>
      </c>
      <c r="U35" s="13">
        <v>12</v>
      </c>
      <c r="V35" s="13">
        <v>12</v>
      </c>
      <c r="W35" s="13">
        <v>12</v>
      </c>
      <c r="X35" s="13">
        <v>12</v>
      </c>
      <c r="Y35" s="13">
        <v>12</v>
      </c>
    </row>
    <row r="36" spans="1:25" s="31" customFormat="1" x14ac:dyDescent="0.25">
      <c r="A36" s="23" t="s">
        <v>138</v>
      </c>
      <c r="B36" s="13">
        <v>1</v>
      </c>
      <c r="C36" s="13">
        <v>1</v>
      </c>
      <c r="D36" s="13">
        <v>1</v>
      </c>
      <c r="E36" s="13">
        <v>1</v>
      </c>
      <c r="F36" s="13">
        <v>1</v>
      </c>
      <c r="G36" s="13">
        <v>1</v>
      </c>
      <c r="H36" s="13">
        <v>1</v>
      </c>
      <c r="I36" s="13">
        <v>1</v>
      </c>
      <c r="J36" s="13">
        <v>1</v>
      </c>
      <c r="K36" s="13">
        <v>1</v>
      </c>
      <c r="L36" s="13">
        <v>1</v>
      </c>
      <c r="M36" s="13">
        <v>1</v>
      </c>
      <c r="N36" s="13">
        <v>1</v>
      </c>
      <c r="O36" s="13">
        <v>1</v>
      </c>
      <c r="P36" s="13">
        <v>1</v>
      </c>
      <c r="Q36" s="13">
        <v>1</v>
      </c>
      <c r="R36" s="13">
        <v>1</v>
      </c>
      <c r="S36" s="13">
        <v>1</v>
      </c>
      <c r="T36" s="13">
        <v>1</v>
      </c>
      <c r="U36" s="13">
        <v>1</v>
      </c>
      <c r="V36" s="13">
        <v>1</v>
      </c>
      <c r="W36" s="13">
        <v>1</v>
      </c>
      <c r="X36" s="13">
        <v>1</v>
      </c>
      <c r="Y36" s="13">
        <v>1</v>
      </c>
    </row>
    <row r="37" spans="1:25" s="31" customFormat="1" x14ac:dyDescent="0.25">
      <c r="A37" s="23" t="s">
        <v>139</v>
      </c>
      <c r="B37" s="13">
        <v>12</v>
      </c>
      <c r="C37" s="13">
        <v>12</v>
      </c>
      <c r="D37" s="13">
        <v>12</v>
      </c>
      <c r="E37" s="13">
        <v>12</v>
      </c>
      <c r="F37" s="13">
        <v>12</v>
      </c>
      <c r="G37" s="13">
        <v>12</v>
      </c>
      <c r="H37" s="13">
        <v>12</v>
      </c>
      <c r="I37" s="13">
        <v>12</v>
      </c>
      <c r="J37" s="13">
        <v>12</v>
      </c>
      <c r="K37" s="13">
        <v>12</v>
      </c>
      <c r="L37" s="13">
        <v>12</v>
      </c>
      <c r="M37" s="13">
        <v>12</v>
      </c>
      <c r="N37" s="13">
        <v>12</v>
      </c>
      <c r="O37" s="13">
        <v>12</v>
      </c>
      <c r="P37" s="13">
        <v>12</v>
      </c>
      <c r="Q37" s="13">
        <v>12</v>
      </c>
      <c r="R37" s="13">
        <v>12</v>
      </c>
      <c r="S37" s="13">
        <v>12</v>
      </c>
      <c r="T37" s="13">
        <v>12</v>
      </c>
      <c r="U37" s="13">
        <v>12</v>
      </c>
      <c r="V37" s="13">
        <v>12</v>
      </c>
      <c r="W37" s="13">
        <v>12</v>
      </c>
      <c r="X37" s="13">
        <v>12</v>
      </c>
      <c r="Y37" s="13">
        <v>12</v>
      </c>
    </row>
    <row r="38" spans="1:25" s="31" customFormat="1" x14ac:dyDescent="0.25">
      <c r="A38" s="23" t="s">
        <v>140</v>
      </c>
      <c r="B38" s="13">
        <v>0</v>
      </c>
      <c r="C38" s="13">
        <v>0</v>
      </c>
      <c r="D38" s="13">
        <v>0</v>
      </c>
      <c r="E38" s="13">
        <v>0</v>
      </c>
      <c r="F38" s="13">
        <v>0</v>
      </c>
      <c r="G38" s="13">
        <v>0</v>
      </c>
      <c r="H38" s="13">
        <v>0</v>
      </c>
      <c r="I38" s="13">
        <v>0</v>
      </c>
      <c r="J38" s="13">
        <v>0</v>
      </c>
      <c r="K38" s="13">
        <v>0</v>
      </c>
      <c r="L38" s="13">
        <v>0</v>
      </c>
      <c r="M38" s="13">
        <v>0</v>
      </c>
      <c r="N38" s="13">
        <v>0</v>
      </c>
      <c r="O38" s="13">
        <v>0</v>
      </c>
      <c r="P38" s="13">
        <v>0</v>
      </c>
      <c r="Q38" s="13">
        <v>0</v>
      </c>
      <c r="R38" s="13">
        <v>0</v>
      </c>
      <c r="S38" s="13">
        <v>0</v>
      </c>
      <c r="T38" s="13">
        <v>0</v>
      </c>
      <c r="U38" s="13">
        <v>0</v>
      </c>
      <c r="V38" s="13">
        <v>0</v>
      </c>
      <c r="W38" s="13">
        <v>0</v>
      </c>
      <c r="X38" s="13">
        <v>0</v>
      </c>
      <c r="Y38" s="13">
        <v>0</v>
      </c>
    </row>
    <row r="39" spans="1:25" s="31" customFormat="1" x14ac:dyDescent="0.25">
      <c r="A39" s="23" t="s">
        <v>141</v>
      </c>
      <c r="B39" s="13">
        <v>769</v>
      </c>
      <c r="C39" s="13">
        <v>769</v>
      </c>
      <c r="D39" s="13">
        <v>769</v>
      </c>
      <c r="E39" s="13">
        <v>769</v>
      </c>
      <c r="F39" s="13">
        <v>769</v>
      </c>
      <c r="G39" s="13">
        <v>0</v>
      </c>
      <c r="H39" s="13">
        <v>0</v>
      </c>
      <c r="I39" s="13">
        <v>769</v>
      </c>
      <c r="J39" s="13">
        <v>769</v>
      </c>
      <c r="K39" s="13">
        <v>769</v>
      </c>
      <c r="L39" s="13">
        <v>769</v>
      </c>
      <c r="M39" s="13">
        <v>769</v>
      </c>
      <c r="N39" s="13">
        <v>769</v>
      </c>
      <c r="O39" s="13">
        <v>769</v>
      </c>
      <c r="P39" s="13">
        <v>769</v>
      </c>
      <c r="Q39" s="13">
        <v>769</v>
      </c>
      <c r="R39" s="13">
        <v>769</v>
      </c>
      <c r="S39" s="13">
        <v>769</v>
      </c>
      <c r="T39" s="13">
        <v>769</v>
      </c>
      <c r="U39" s="13">
        <v>769</v>
      </c>
      <c r="V39" s="13">
        <v>769</v>
      </c>
      <c r="W39" s="13">
        <v>769</v>
      </c>
      <c r="X39" s="13">
        <v>769</v>
      </c>
      <c r="Y39" s="13">
        <v>769</v>
      </c>
    </row>
    <row r="40" spans="1:25" s="31" customFormat="1" x14ac:dyDescent="0.25">
      <c r="A40" s="23" t="s">
        <v>33</v>
      </c>
      <c r="B40" s="14" t="s">
        <v>34</v>
      </c>
      <c r="C40" s="14" t="s">
        <v>34</v>
      </c>
      <c r="D40" s="14" t="s">
        <v>34</v>
      </c>
      <c r="E40" s="14" t="s">
        <v>34</v>
      </c>
      <c r="F40" s="14" t="s">
        <v>34</v>
      </c>
      <c r="G40" s="14" t="s">
        <v>34</v>
      </c>
      <c r="H40" s="14" t="s">
        <v>34</v>
      </c>
      <c r="I40" s="14" t="s">
        <v>34</v>
      </c>
      <c r="J40" s="14" t="s">
        <v>34</v>
      </c>
      <c r="K40" s="14" t="s">
        <v>34</v>
      </c>
      <c r="L40" s="14" t="s">
        <v>34</v>
      </c>
      <c r="M40" s="14" t="s">
        <v>34</v>
      </c>
      <c r="N40" s="14" t="s">
        <v>34</v>
      </c>
      <c r="O40" s="14" t="s">
        <v>34</v>
      </c>
      <c r="P40" s="14" t="s">
        <v>34</v>
      </c>
      <c r="Q40" s="14" t="s">
        <v>34</v>
      </c>
      <c r="R40" s="14" t="s">
        <v>34</v>
      </c>
      <c r="S40" s="14" t="s">
        <v>34</v>
      </c>
      <c r="T40" s="14" t="s">
        <v>34</v>
      </c>
      <c r="U40" s="14" t="s">
        <v>34</v>
      </c>
      <c r="V40" s="14" t="s">
        <v>34</v>
      </c>
      <c r="W40" s="14" t="s">
        <v>34</v>
      </c>
      <c r="X40" s="14" t="s">
        <v>34</v>
      </c>
      <c r="Y40" s="14" t="s">
        <v>34</v>
      </c>
    </row>
    <row r="41" spans="1:25" s="31" customFormat="1" x14ac:dyDescent="0.25">
      <c r="A41" s="23" t="s">
        <v>31</v>
      </c>
      <c r="B41" s="14" t="s">
        <v>32</v>
      </c>
      <c r="C41" s="14" t="s">
        <v>32</v>
      </c>
      <c r="D41" s="14" t="s">
        <v>32</v>
      </c>
      <c r="E41" s="14" t="s">
        <v>32</v>
      </c>
      <c r="F41" s="14" t="s">
        <v>32</v>
      </c>
      <c r="G41" s="14" t="s">
        <v>32</v>
      </c>
      <c r="H41" s="14" t="s">
        <v>32</v>
      </c>
      <c r="I41" s="14" t="s">
        <v>32</v>
      </c>
      <c r="J41" s="14" t="s">
        <v>32</v>
      </c>
      <c r="K41" s="14" t="s">
        <v>32</v>
      </c>
      <c r="L41" s="14" t="s">
        <v>32</v>
      </c>
      <c r="M41" s="14" t="s">
        <v>32</v>
      </c>
      <c r="N41" s="14" t="s">
        <v>32</v>
      </c>
      <c r="O41" s="14" t="s">
        <v>32</v>
      </c>
      <c r="P41" s="14" t="s">
        <v>32</v>
      </c>
      <c r="Q41" s="14" t="s">
        <v>32</v>
      </c>
      <c r="R41" s="14" t="s">
        <v>32</v>
      </c>
      <c r="S41" s="14" t="s">
        <v>32</v>
      </c>
      <c r="T41" s="14" t="s">
        <v>32</v>
      </c>
      <c r="U41" s="14" t="s">
        <v>32</v>
      </c>
      <c r="V41" s="14" t="s">
        <v>32</v>
      </c>
      <c r="W41" s="14" t="s">
        <v>32</v>
      </c>
      <c r="X41" s="14" t="s">
        <v>32</v>
      </c>
      <c r="Y41" s="14" t="s">
        <v>32</v>
      </c>
    </row>
    <row r="42" spans="1:25" s="47" customFormat="1" x14ac:dyDescent="0.25">
      <c r="A42" s="67" t="s">
        <v>22</v>
      </c>
      <c r="B42" s="68" t="s">
        <v>26</v>
      </c>
      <c r="C42" s="68" t="s">
        <v>26</v>
      </c>
      <c r="D42" s="68" t="s">
        <v>26</v>
      </c>
      <c r="E42" s="68" t="s">
        <v>26</v>
      </c>
      <c r="F42" s="68" t="s">
        <v>26</v>
      </c>
      <c r="G42" s="68" t="s">
        <v>26</v>
      </c>
      <c r="H42" s="68" t="s">
        <v>26</v>
      </c>
      <c r="I42" s="68" t="s">
        <v>26</v>
      </c>
      <c r="J42" s="68" t="s">
        <v>26</v>
      </c>
      <c r="K42" s="68" t="s">
        <v>26</v>
      </c>
      <c r="L42" s="68" t="s">
        <v>26</v>
      </c>
      <c r="M42" s="68" t="s">
        <v>26</v>
      </c>
      <c r="N42" s="68" t="s">
        <v>26</v>
      </c>
      <c r="O42" s="68" t="s">
        <v>26</v>
      </c>
      <c r="P42" s="68" t="s">
        <v>26</v>
      </c>
      <c r="Q42" s="68" t="s">
        <v>26</v>
      </c>
      <c r="R42" s="68" t="s">
        <v>26</v>
      </c>
      <c r="S42" s="68" t="s">
        <v>26</v>
      </c>
      <c r="T42" s="68" t="s">
        <v>26</v>
      </c>
      <c r="U42" s="68" t="s">
        <v>26</v>
      </c>
      <c r="V42" s="68" t="s">
        <v>26</v>
      </c>
      <c r="W42" s="68" t="s">
        <v>26</v>
      </c>
      <c r="X42" s="68" t="s">
        <v>26</v>
      </c>
      <c r="Y42" s="68" t="s">
        <v>26</v>
      </c>
    </row>
    <row r="43" spans="1:25" s="47" customFormat="1" x14ac:dyDescent="0.25">
      <c r="A43" s="67" t="s">
        <v>21</v>
      </c>
      <c r="B43" s="68" t="s">
        <v>27</v>
      </c>
      <c r="C43" s="68" t="s">
        <v>27</v>
      </c>
      <c r="D43" s="68" t="s">
        <v>27</v>
      </c>
      <c r="E43" s="68" t="s">
        <v>27</v>
      </c>
      <c r="F43" s="68" t="s">
        <v>27</v>
      </c>
      <c r="G43" s="68" t="s">
        <v>27</v>
      </c>
      <c r="H43" s="68" t="s">
        <v>27</v>
      </c>
      <c r="I43" s="68" t="s">
        <v>27</v>
      </c>
      <c r="J43" s="68" t="s">
        <v>27</v>
      </c>
      <c r="K43" s="68" t="s">
        <v>27</v>
      </c>
      <c r="L43" s="68" t="s">
        <v>27</v>
      </c>
      <c r="M43" s="68" t="s">
        <v>27</v>
      </c>
      <c r="N43" s="68" t="s">
        <v>27</v>
      </c>
      <c r="O43" s="68" t="s">
        <v>27</v>
      </c>
      <c r="P43" s="68" t="s">
        <v>27</v>
      </c>
      <c r="Q43" s="68" t="s">
        <v>27</v>
      </c>
      <c r="R43" s="68" t="s">
        <v>27</v>
      </c>
      <c r="S43" s="68" t="s">
        <v>27</v>
      </c>
      <c r="T43" s="68" t="s">
        <v>27</v>
      </c>
      <c r="U43" s="68" t="s">
        <v>27</v>
      </c>
      <c r="V43" s="68" t="s">
        <v>27</v>
      </c>
      <c r="W43" s="68" t="s">
        <v>27</v>
      </c>
      <c r="X43" s="68" t="s">
        <v>27</v>
      </c>
      <c r="Y43" s="68" t="s">
        <v>27</v>
      </c>
    </row>
    <row r="44" spans="1:25" s="47" customFormat="1" x14ac:dyDescent="0.25">
      <c r="A44" s="67" t="s">
        <v>20</v>
      </c>
      <c r="B44" s="68" t="s">
        <v>26</v>
      </c>
      <c r="C44" s="68" t="s">
        <v>26</v>
      </c>
      <c r="D44" s="68" t="s">
        <v>26</v>
      </c>
      <c r="E44" s="68" t="s">
        <v>26</v>
      </c>
      <c r="F44" s="68" t="s">
        <v>26</v>
      </c>
      <c r="G44" s="68" t="s">
        <v>26</v>
      </c>
      <c r="H44" s="68" t="s">
        <v>26</v>
      </c>
      <c r="I44" s="68" t="s">
        <v>26</v>
      </c>
      <c r="J44" s="68" t="s">
        <v>26</v>
      </c>
      <c r="K44" s="68" t="s">
        <v>26</v>
      </c>
      <c r="L44" s="68" t="s">
        <v>26</v>
      </c>
      <c r="M44" s="68" t="s">
        <v>26</v>
      </c>
      <c r="N44" s="68" t="s">
        <v>26</v>
      </c>
      <c r="O44" s="68" t="s">
        <v>26</v>
      </c>
      <c r="P44" s="68" t="s">
        <v>26</v>
      </c>
      <c r="Q44" s="68" t="s">
        <v>26</v>
      </c>
      <c r="R44" s="68" t="s">
        <v>26</v>
      </c>
      <c r="S44" s="68" t="s">
        <v>26</v>
      </c>
      <c r="T44" s="68" t="s">
        <v>26</v>
      </c>
      <c r="U44" s="68" t="s">
        <v>26</v>
      </c>
      <c r="V44" s="68" t="s">
        <v>26</v>
      </c>
      <c r="W44" s="68" t="s">
        <v>26</v>
      </c>
      <c r="X44" s="68" t="s">
        <v>26</v>
      </c>
      <c r="Y44" s="68" t="s">
        <v>26</v>
      </c>
    </row>
    <row r="45" spans="1:25" s="31" customFormat="1" x14ac:dyDescent="0.25">
      <c r="A45" s="23" t="s">
        <v>16</v>
      </c>
      <c r="B45" s="9" t="s">
        <v>17</v>
      </c>
      <c r="C45" s="9" t="s">
        <v>98</v>
      </c>
      <c r="D45" s="9" t="s">
        <v>99</v>
      </c>
      <c r="E45" s="9" t="s">
        <v>100</v>
      </c>
      <c r="F45" s="9" t="s">
        <v>100</v>
      </c>
      <c r="G45" s="9" t="s">
        <v>100</v>
      </c>
      <c r="H45" s="9" t="s">
        <v>100</v>
      </c>
      <c r="I45" s="9" t="s">
        <v>100</v>
      </c>
      <c r="J45" s="9" t="s">
        <v>99</v>
      </c>
      <c r="K45" s="9" t="s">
        <v>17</v>
      </c>
      <c r="L45" s="9" t="s">
        <v>17</v>
      </c>
      <c r="M45" s="9" t="s">
        <v>17</v>
      </c>
      <c r="N45" s="9" t="s">
        <v>17</v>
      </c>
      <c r="O45" s="9" t="s">
        <v>17</v>
      </c>
      <c r="P45" s="9" t="s">
        <v>17</v>
      </c>
      <c r="Q45" s="9" t="s">
        <v>17</v>
      </c>
      <c r="R45" s="9" t="s">
        <v>17</v>
      </c>
      <c r="S45" s="9" t="s">
        <v>17</v>
      </c>
      <c r="T45" s="9" t="s">
        <v>17</v>
      </c>
      <c r="U45" s="9" t="s">
        <v>17</v>
      </c>
      <c r="V45" s="9" t="s">
        <v>17</v>
      </c>
      <c r="W45" s="9" t="s">
        <v>17</v>
      </c>
      <c r="X45" s="9" t="s">
        <v>17</v>
      </c>
      <c r="Y45" s="9" t="s">
        <v>17</v>
      </c>
    </row>
    <row r="46" spans="1:25" x14ac:dyDescent="0.25">
      <c r="A46"/>
      <c r="B46"/>
    </row>
    <row r="47" spans="1:25" x14ac:dyDescent="0.25">
      <c r="A47"/>
      <c r="B47"/>
    </row>
    <row r="48" spans="1:25" s="29" customFormat="1" x14ac:dyDescent="0.25">
      <c r="A48" s="27" t="s">
        <v>56</v>
      </c>
      <c r="B48" s="27"/>
      <c r="C48" s="27"/>
      <c r="D48" s="27"/>
      <c r="E48" s="27"/>
      <c r="F48" s="27"/>
      <c r="G48" s="27"/>
      <c r="H48" s="28"/>
    </row>
    <row r="49" spans="1:25" s="37" customFormat="1" x14ac:dyDescent="0.25">
      <c r="A49" s="38" t="s">
        <v>38</v>
      </c>
      <c r="B49" s="37">
        <v>238.90698</v>
      </c>
      <c r="C49" s="37">
        <v>138.55276000000001</v>
      </c>
      <c r="D49" s="37">
        <v>163.66820000000001</v>
      </c>
      <c r="E49" s="37">
        <v>386.14686</v>
      </c>
      <c r="F49" s="37">
        <v>430.47161999999997</v>
      </c>
      <c r="G49" s="37">
        <v>240.35679999999999</v>
      </c>
      <c r="H49" s="37">
        <v>0.35963000000000001</v>
      </c>
      <c r="I49" s="37">
        <v>427.36860000000001</v>
      </c>
      <c r="J49" s="37">
        <v>162.50637</v>
      </c>
      <c r="K49" s="37">
        <v>245.60757000000001</v>
      </c>
      <c r="L49" s="37">
        <v>222.49188000000001</v>
      </c>
      <c r="M49" s="37">
        <v>247.73346000000001</v>
      </c>
      <c r="N49" s="37">
        <v>236.43126000000001</v>
      </c>
      <c r="O49" s="37">
        <v>247.32981000000001</v>
      </c>
      <c r="P49" s="37">
        <v>239.33753999999999</v>
      </c>
      <c r="Q49" s="37">
        <v>244.42353</v>
      </c>
      <c r="R49" s="37">
        <v>247.76036999999999</v>
      </c>
      <c r="S49" s="37">
        <v>238.09968000000001</v>
      </c>
      <c r="T49" s="37">
        <v>245.66139000000001</v>
      </c>
      <c r="U49" s="37">
        <v>239.36445000000001</v>
      </c>
      <c r="V49" s="37">
        <v>244.90790999999999</v>
      </c>
      <c r="Y49" s="37">
        <v>238.90698</v>
      </c>
    </row>
    <row r="50" spans="1:25" s="40" customFormat="1" x14ac:dyDescent="0.25">
      <c r="A50" s="42" t="s">
        <v>29</v>
      </c>
      <c r="B50" s="39">
        <v>252.37</v>
      </c>
      <c r="C50" s="39">
        <v>152.01</v>
      </c>
      <c r="D50" s="39">
        <v>208.92</v>
      </c>
      <c r="E50" s="39">
        <v>399.61</v>
      </c>
      <c r="F50" s="39">
        <v>443.93</v>
      </c>
      <c r="G50" s="39">
        <v>248.4</v>
      </c>
      <c r="H50" s="40">
        <v>18.86</v>
      </c>
      <c r="I50" s="40">
        <v>440.83</v>
      </c>
      <c r="J50" s="40">
        <v>207.76</v>
      </c>
      <c r="K50" s="40">
        <v>259.07</v>
      </c>
      <c r="L50" s="40">
        <v>235.95</v>
      </c>
      <c r="M50" s="40">
        <v>261.19</v>
      </c>
      <c r="N50" s="40">
        <v>249.89</v>
      </c>
      <c r="O50" s="40">
        <v>260.79000000000002</v>
      </c>
      <c r="P50" s="40">
        <v>252.8</v>
      </c>
      <c r="Q50" s="40">
        <v>257.88</v>
      </c>
      <c r="R50" s="40">
        <v>261.22000000000003</v>
      </c>
      <c r="S50" s="40">
        <v>251.56</v>
      </c>
      <c r="T50" s="40">
        <v>259.12</v>
      </c>
      <c r="U50" s="40">
        <v>252.82</v>
      </c>
      <c r="V50" s="40">
        <v>258.37</v>
      </c>
      <c r="Y50" s="40">
        <v>252.37</v>
      </c>
    </row>
    <row r="51" spans="1:25" s="41" customFormat="1" x14ac:dyDescent="0.25">
      <c r="A51" s="42" t="s">
        <v>147</v>
      </c>
      <c r="B51" s="22">
        <v>2223663</v>
      </c>
      <c r="C51" s="22">
        <v>1300404</v>
      </c>
      <c r="D51" s="22">
        <v>1960038</v>
      </c>
      <c r="E51" s="22">
        <v>4839048</v>
      </c>
      <c r="F51" s="22">
        <v>4006784</v>
      </c>
      <c r="G51" s="22">
        <v>83945</v>
      </c>
      <c r="H51" s="41">
        <v>26367</v>
      </c>
      <c r="I51" s="41">
        <v>3980928</v>
      </c>
      <c r="J51" s="41">
        <v>1974465</v>
      </c>
      <c r="K51" s="41">
        <v>2307981</v>
      </c>
      <c r="L51" s="41">
        <v>2070276</v>
      </c>
      <c r="M51" s="41">
        <v>2276586</v>
      </c>
      <c r="N51" s="41">
        <v>2227251</v>
      </c>
      <c r="O51" s="41">
        <v>2292732</v>
      </c>
      <c r="P51" s="41">
        <v>2208414</v>
      </c>
      <c r="Q51" s="41">
        <v>2311569</v>
      </c>
      <c r="R51" s="41">
        <v>2277483</v>
      </c>
      <c r="S51" s="41">
        <v>2210208</v>
      </c>
      <c r="T51" s="41">
        <v>2309775</v>
      </c>
      <c r="U51" s="41">
        <v>2209311</v>
      </c>
      <c r="V51" s="41">
        <v>2298114</v>
      </c>
      <c r="Y51" s="41">
        <v>2223663</v>
      </c>
    </row>
    <row r="52" spans="1:25" s="40" customFormat="1" x14ac:dyDescent="0.25">
      <c r="A52" s="42" t="s">
        <v>30</v>
      </c>
      <c r="B52" s="39">
        <v>16.845659999999999</v>
      </c>
      <c r="C52" s="39">
        <v>11.35256</v>
      </c>
      <c r="D52" s="39">
        <v>80.663049999999998</v>
      </c>
      <c r="E52" s="39">
        <v>169.02816000000001</v>
      </c>
      <c r="F52" s="39">
        <v>0</v>
      </c>
      <c r="G52" s="39">
        <v>32.662399999999998</v>
      </c>
      <c r="H52" s="40">
        <v>5.6239999999999998E-2</v>
      </c>
      <c r="I52" s="40">
        <v>4816.6017899999997</v>
      </c>
      <c r="J52" s="40">
        <v>1831.4891600000001</v>
      </c>
      <c r="K52" s="40">
        <v>0</v>
      </c>
      <c r="L52" s="40">
        <v>0</v>
      </c>
      <c r="M52" s="40">
        <v>0</v>
      </c>
      <c r="N52" s="40">
        <v>0</v>
      </c>
      <c r="O52" s="40">
        <v>0</v>
      </c>
      <c r="P52" s="40">
        <v>0</v>
      </c>
      <c r="Q52" s="40">
        <v>0</v>
      </c>
      <c r="R52" s="40">
        <v>0</v>
      </c>
      <c r="S52" s="40">
        <v>0</v>
      </c>
      <c r="T52" s="40">
        <v>0</v>
      </c>
      <c r="U52" s="40">
        <v>0</v>
      </c>
      <c r="V52" s="40">
        <v>0</v>
      </c>
      <c r="Y52" s="40">
        <v>247.76036999999999</v>
      </c>
    </row>
    <row r="53" spans="1:25" s="41" customFormat="1" x14ac:dyDescent="0.25">
      <c r="A53" s="42" t="s">
        <v>146</v>
      </c>
      <c r="B53" s="22">
        <v>138138</v>
      </c>
      <c r="C53" s="22">
        <v>93052</v>
      </c>
      <c r="D53" s="22">
        <v>994045</v>
      </c>
      <c r="E53" s="22">
        <v>1401336</v>
      </c>
      <c r="F53" s="22">
        <v>0</v>
      </c>
      <c r="G53" s="22">
        <v>10503</v>
      </c>
      <c r="H53" s="41">
        <v>2700</v>
      </c>
      <c r="I53" s="41">
        <v>44578984</v>
      </c>
      <c r="J53" s="41">
        <v>22109534</v>
      </c>
      <c r="K53" s="41">
        <v>0</v>
      </c>
      <c r="L53" s="41">
        <v>0</v>
      </c>
      <c r="M53" s="41">
        <v>0</v>
      </c>
      <c r="N53" s="41">
        <v>0</v>
      </c>
      <c r="O53" s="41">
        <v>0</v>
      </c>
      <c r="P53" s="41">
        <v>0</v>
      </c>
      <c r="Q53" s="41">
        <v>0</v>
      </c>
      <c r="R53" s="41">
        <v>0</v>
      </c>
      <c r="S53" s="41">
        <v>0</v>
      </c>
      <c r="T53" s="41">
        <v>0</v>
      </c>
      <c r="U53" s="41">
        <v>0</v>
      </c>
      <c r="V53" s="41">
        <v>0</v>
      </c>
      <c r="Y53" s="41">
        <v>2277483</v>
      </c>
    </row>
    <row r="54" spans="1:25" x14ac:dyDescent="0.25">
      <c r="B54" s="16"/>
      <c r="C54" s="1"/>
      <c r="D54" s="1"/>
      <c r="E54" s="1"/>
    </row>
    <row r="55" spans="1:25" x14ac:dyDescent="0.25">
      <c r="A55" s="2" t="s">
        <v>12</v>
      </c>
      <c r="B55" s="19">
        <f>G98</f>
        <v>69069</v>
      </c>
    </row>
    <row r="56" spans="1:25" x14ac:dyDescent="0.25">
      <c r="A56" s="2" t="s">
        <v>10</v>
      </c>
      <c r="B56" s="19">
        <f>H98</f>
        <v>86112</v>
      </c>
    </row>
    <row r="57" spans="1:25" x14ac:dyDescent="0.25">
      <c r="A57" s="2" t="s">
        <v>11</v>
      </c>
      <c r="B57" s="19">
        <f>5*B55+2*B56</f>
        <v>517569</v>
      </c>
    </row>
    <row r="58" spans="1:25" x14ac:dyDescent="0.25">
      <c r="A58" s="2" t="s">
        <v>14</v>
      </c>
      <c r="B58" s="16">
        <f>I98/100000</f>
        <v>8.4228299999999994</v>
      </c>
      <c r="C58" s="1"/>
      <c r="D58" s="1"/>
      <c r="E58" s="1"/>
    </row>
    <row r="59" spans="1:25" x14ac:dyDescent="0.25">
      <c r="A59" s="2" t="s">
        <v>15</v>
      </c>
      <c r="B59" s="16">
        <f>J98/100000</f>
        <v>6.75441</v>
      </c>
      <c r="C59" s="1"/>
      <c r="D59" s="1"/>
      <c r="E59" s="1"/>
    </row>
    <row r="60" spans="1:25" x14ac:dyDescent="0.25">
      <c r="A60" s="2" t="s">
        <v>144</v>
      </c>
      <c r="B60" s="16">
        <f>(5*B58 + 2*B59)</f>
        <v>55.622969999999995</v>
      </c>
      <c r="C60" s="1"/>
      <c r="D60" s="1"/>
      <c r="E60" s="1"/>
    </row>
    <row r="61" spans="1:25" x14ac:dyDescent="0.25">
      <c r="A61" s="2" t="s">
        <v>143</v>
      </c>
      <c r="B61" s="16">
        <f>4*B60</f>
        <v>222.49187999999998</v>
      </c>
      <c r="C61" s="1"/>
      <c r="D61" s="1"/>
      <c r="E61" s="1"/>
    </row>
    <row r="62" spans="1:25" x14ac:dyDescent="0.25">
      <c r="A62" s="2" t="s">
        <v>145</v>
      </c>
      <c r="B62" s="20">
        <f>4*B57</f>
        <v>2070276</v>
      </c>
      <c r="C62" s="1"/>
      <c r="D62" s="1"/>
      <c r="E62" s="1"/>
    </row>
    <row r="63" spans="1:25" x14ac:dyDescent="0.25">
      <c r="A63" s="2" t="s">
        <v>6</v>
      </c>
      <c r="B63" s="20">
        <f>B98</f>
        <v>77</v>
      </c>
    </row>
    <row r="64" spans="1:25" x14ac:dyDescent="0.25">
      <c r="A64" s="2" t="s">
        <v>7</v>
      </c>
      <c r="B64" s="20">
        <f>C98</f>
        <v>96</v>
      </c>
    </row>
    <row r="65" spans="1:10" x14ac:dyDescent="0.25">
      <c r="A65" s="2" t="s">
        <v>115</v>
      </c>
      <c r="B65" s="20">
        <f>EUIGenerator!$B$67/(4*(5*B98+2*C98))</f>
        <v>896.88041594454069</v>
      </c>
      <c r="C65" s="57"/>
    </row>
    <row r="66" spans="1:10" x14ac:dyDescent="0.25">
      <c r="A66" s="59" t="s">
        <v>142</v>
      </c>
      <c r="B66" s="60">
        <v>0</v>
      </c>
      <c r="C66" s="61" t="s">
        <v>103</v>
      </c>
    </row>
    <row r="67" spans="1:10" x14ac:dyDescent="0.25">
      <c r="A67" s="59" t="s">
        <v>37</v>
      </c>
      <c r="B67" s="60">
        <v>2070000</v>
      </c>
      <c r="C67" s="61" t="s">
        <v>104</v>
      </c>
    </row>
    <row r="68" spans="1:10" x14ac:dyDescent="0.25">
      <c r="A68" s="59" t="s">
        <v>106</v>
      </c>
      <c r="B68" s="64">
        <v>3.0000000000000001E-5</v>
      </c>
      <c r="C68" s="61" t="s">
        <v>105</v>
      </c>
    </row>
    <row r="69" spans="1:10" x14ac:dyDescent="0.25">
      <c r="A69" s="59" t="s">
        <v>24</v>
      </c>
      <c r="B69" s="62">
        <v>40909</v>
      </c>
      <c r="C69" s="61" t="s">
        <v>107</v>
      </c>
    </row>
    <row r="71" spans="1:10" x14ac:dyDescent="0.25">
      <c r="A71" s="15" t="s">
        <v>19</v>
      </c>
      <c r="B71" s="15"/>
      <c r="C71" s="6"/>
      <c r="D71" s="6"/>
      <c r="E71" s="6"/>
      <c r="F71" s="6"/>
      <c r="G71" s="6"/>
      <c r="H71" s="6"/>
      <c r="I71" s="6"/>
      <c r="J71" s="6"/>
    </row>
    <row r="72" spans="1:10" x14ac:dyDescent="0.25">
      <c r="B72" s="2" t="s">
        <v>148</v>
      </c>
      <c r="D72" t="s">
        <v>8</v>
      </c>
      <c r="G72" t="s">
        <v>9</v>
      </c>
      <c r="I72" t="s">
        <v>4</v>
      </c>
    </row>
    <row r="73" spans="1:10" ht="30" x14ac:dyDescent="0.25">
      <c r="A73" s="2" t="s">
        <v>58</v>
      </c>
      <c r="B73" s="2" t="s">
        <v>0</v>
      </c>
      <c r="C73" t="s">
        <v>1</v>
      </c>
      <c r="D73" t="s">
        <v>0</v>
      </c>
      <c r="E73" t="s">
        <v>1</v>
      </c>
      <c r="G73" t="s">
        <v>0</v>
      </c>
      <c r="H73" t="s">
        <v>1</v>
      </c>
      <c r="I73" t="s">
        <v>0</v>
      </c>
      <c r="J73" t="s">
        <v>1</v>
      </c>
    </row>
    <row r="74" spans="1:10" x14ac:dyDescent="0.25">
      <c r="A74" s="17">
        <v>0</v>
      </c>
      <c r="B74" s="18">
        <v>1</v>
      </c>
      <c r="C74" s="3">
        <v>1</v>
      </c>
      <c r="D74" s="3">
        <v>1</v>
      </c>
      <c r="E74" s="3">
        <v>1</v>
      </c>
      <c r="F74" s="1"/>
      <c r="G74" s="1">
        <f t="shared" ref="G74:G97" si="0">CEILING($B$65*B74,1)</f>
        <v>897</v>
      </c>
      <c r="H74" s="1">
        <f t="shared" ref="H74:H97" si="1">CEILING($B$65*C74,1)</f>
        <v>897</v>
      </c>
      <c r="I74" s="1">
        <f>INT(G74*D74*$B$68*100000)</f>
        <v>2691</v>
      </c>
      <c r="J74" s="1">
        <f>INT(H74*E74*$B$68*100000)</f>
        <v>2691</v>
      </c>
    </row>
    <row r="75" spans="1:10" x14ac:dyDescent="0.25">
      <c r="A75" s="17">
        <v>4.1666666666666664E-2</v>
      </c>
      <c r="B75" s="18">
        <v>1</v>
      </c>
      <c r="C75" s="3">
        <v>1</v>
      </c>
      <c r="D75" s="3">
        <v>1</v>
      </c>
      <c r="E75" s="3">
        <v>1</v>
      </c>
      <c r="F75" s="1"/>
      <c r="G75" s="1">
        <f t="shared" si="0"/>
        <v>897</v>
      </c>
      <c r="H75" s="1">
        <f t="shared" si="1"/>
        <v>897</v>
      </c>
      <c r="I75" s="1">
        <f t="shared" ref="I75:I97" si="2">INT(G75*D75*$B$68*100000)</f>
        <v>2691</v>
      </c>
      <c r="J75" s="1">
        <f t="shared" ref="J75:J97" si="3">INT(H75*E75*$B$68*100000)</f>
        <v>2691</v>
      </c>
    </row>
    <row r="76" spans="1:10" x14ac:dyDescent="0.25">
      <c r="A76" s="17">
        <v>8.3333333333333329E-2</v>
      </c>
      <c r="B76" s="18">
        <v>1</v>
      </c>
      <c r="C76" s="3">
        <v>1</v>
      </c>
      <c r="D76" s="3">
        <v>1</v>
      </c>
      <c r="E76" s="3">
        <v>1</v>
      </c>
      <c r="F76" s="1"/>
      <c r="G76" s="1">
        <f t="shared" si="0"/>
        <v>897</v>
      </c>
      <c r="H76" s="1">
        <f t="shared" si="1"/>
        <v>897</v>
      </c>
      <c r="I76" s="1">
        <f t="shared" si="2"/>
        <v>2691</v>
      </c>
      <c r="J76" s="1">
        <f t="shared" si="3"/>
        <v>2691</v>
      </c>
    </row>
    <row r="77" spans="1:10" x14ac:dyDescent="0.25">
      <c r="A77" s="17">
        <v>0.125</v>
      </c>
      <c r="B77" s="18">
        <v>1</v>
      </c>
      <c r="C77" s="3">
        <v>1</v>
      </c>
      <c r="D77" s="3">
        <v>1</v>
      </c>
      <c r="E77" s="3">
        <v>1</v>
      </c>
      <c r="F77" s="1"/>
      <c r="G77" s="1">
        <f t="shared" si="0"/>
        <v>897</v>
      </c>
      <c r="H77" s="1">
        <f t="shared" si="1"/>
        <v>897</v>
      </c>
      <c r="I77" s="1">
        <f t="shared" si="2"/>
        <v>2691</v>
      </c>
      <c r="J77" s="1">
        <f t="shared" si="3"/>
        <v>2691</v>
      </c>
    </row>
    <row r="78" spans="1:10" x14ac:dyDescent="0.25">
      <c r="A78" s="17">
        <v>0.16666666666666666</v>
      </c>
      <c r="B78" s="18">
        <v>1</v>
      </c>
      <c r="C78" s="3">
        <v>1</v>
      </c>
      <c r="D78" s="3">
        <v>1</v>
      </c>
      <c r="E78" s="3">
        <v>1</v>
      </c>
      <c r="F78" s="1"/>
      <c r="G78" s="1">
        <f t="shared" si="0"/>
        <v>897</v>
      </c>
      <c r="H78" s="1">
        <f t="shared" si="1"/>
        <v>897</v>
      </c>
      <c r="I78" s="1">
        <f t="shared" si="2"/>
        <v>2691</v>
      </c>
      <c r="J78" s="1">
        <f t="shared" si="3"/>
        <v>2691</v>
      </c>
    </row>
    <row r="79" spans="1:10" x14ac:dyDescent="0.25">
      <c r="A79" s="17">
        <v>0.20833333333333334</v>
      </c>
      <c r="B79" s="18">
        <v>3</v>
      </c>
      <c r="C79" s="3">
        <v>3</v>
      </c>
      <c r="D79" s="3">
        <v>1</v>
      </c>
      <c r="E79" s="3">
        <v>1</v>
      </c>
      <c r="F79" s="1"/>
      <c r="G79" s="1">
        <f t="shared" si="0"/>
        <v>2691</v>
      </c>
      <c r="H79" s="1">
        <f t="shared" si="1"/>
        <v>2691</v>
      </c>
      <c r="I79" s="1">
        <f t="shared" si="2"/>
        <v>8073</v>
      </c>
      <c r="J79" s="1">
        <f t="shared" si="3"/>
        <v>8073</v>
      </c>
    </row>
    <row r="80" spans="1:10" x14ac:dyDescent="0.25">
      <c r="A80" s="17">
        <v>0.25</v>
      </c>
      <c r="B80" s="18">
        <v>5</v>
      </c>
      <c r="C80" s="3">
        <v>5</v>
      </c>
      <c r="D80" s="3">
        <v>2</v>
      </c>
      <c r="E80" s="3">
        <v>2</v>
      </c>
      <c r="F80" s="1"/>
      <c r="G80" s="1">
        <f t="shared" si="0"/>
        <v>4485</v>
      </c>
      <c r="H80" s="1">
        <f t="shared" si="1"/>
        <v>4485</v>
      </c>
      <c r="I80" s="1">
        <f t="shared" si="2"/>
        <v>26910</v>
      </c>
      <c r="J80" s="1">
        <f t="shared" si="3"/>
        <v>26910</v>
      </c>
    </row>
    <row r="81" spans="1:10" x14ac:dyDescent="0.25">
      <c r="A81" s="17">
        <v>0.29166666666666669</v>
      </c>
      <c r="B81" s="18">
        <v>5</v>
      </c>
      <c r="C81" s="3">
        <v>5</v>
      </c>
      <c r="D81" s="3">
        <v>2</v>
      </c>
      <c r="E81" s="3">
        <v>2</v>
      </c>
      <c r="F81" s="1"/>
      <c r="G81" s="1">
        <f t="shared" si="0"/>
        <v>4485</v>
      </c>
      <c r="H81" s="1">
        <f t="shared" si="1"/>
        <v>4485</v>
      </c>
      <c r="I81" s="1">
        <f t="shared" si="2"/>
        <v>26910</v>
      </c>
      <c r="J81" s="1">
        <f t="shared" si="3"/>
        <v>26910</v>
      </c>
    </row>
    <row r="82" spans="1:10" x14ac:dyDescent="0.25">
      <c r="A82" s="17">
        <v>0.33333333333333331</v>
      </c>
      <c r="B82" s="18">
        <v>5</v>
      </c>
      <c r="C82" s="3">
        <v>5</v>
      </c>
      <c r="D82" s="3">
        <v>2</v>
      </c>
      <c r="E82" s="3">
        <v>2</v>
      </c>
      <c r="F82" s="1"/>
      <c r="G82" s="1">
        <f t="shared" si="0"/>
        <v>4485</v>
      </c>
      <c r="H82" s="1">
        <f t="shared" si="1"/>
        <v>4485</v>
      </c>
      <c r="I82" s="1">
        <f t="shared" si="2"/>
        <v>26910</v>
      </c>
      <c r="J82" s="1">
        <f t="shared" si="3"/>
        <v>26910</v>
      </c>
    </row>
    <row r="83" spans="1:10" x14ac:dyDescent="0.25">
      <c r="A83" s="17">
        <v>0.375</v>
      </c>
      <c r="B83" s="18">
        <v>5</v>
      </c>
      <c r="C83" s="3">
        <v>5</v>
      </c>
      <c r="D83" s="3">
        <v>2</v>
      </c>
      <c r="E83" s="3">
        <v>2</v>
      </c>
      <c r="F83" s="1"/>
      <c r="G83" s="1">
        <f t="shared" si="0"/>
        <v>4485</v>
      </c>
      <c r="H83" s="1">
        <f t="shared" si="1"/>
        <v>4485</v>
      </c>
      <c r="I83" s="1">
        <f t="shared" si="2"/>
        <v>26910</v>
      </c>
      <c r="J83" s="1">
        <f t="shared" si="3"/>
        <v>26910</v>
      </c>
    </row>
    <row r="84" spans="1:10" x14ac:dyDescent="0.25">
      <c r="A84" s="17">
        <v>0.41666666666666669</v>
      </c>
      <c r="B84" s="18">
        <v>3</v>
      </c>
      <c r="C84" s="3">
        <v>5</v>
      </c>
      <c r="D84" s="3">
        <v>2</v>
      </c>
      <c r="E84" s="3">
        <v>2</v>
      </c>
      <c r="F84" s="1"/>
      <c r="G84" s="1">
        <f t="shared" si="0"/>
        <v>2691</v>
      </c>
      <c r="H84" s="1">
        <f t="shared" si="1"/>
        <v>4485</v>
      </c>
      <c r="I84" s="1">
        <f t="shared" si="2"/>
        <v>16146</v>
      </c>
      <c r="J84" s="1">
        <f t="shared" si="3"/>
        <v>26910</v>
      </c>
    </row>
    <row r="85" spans="1:10" x14ac:dyDescent="0.25">
      <c r="A85" s="17">
        <v>0.45833333333333331</v>
      </c>
      <c r="B85" s="18">
        <v>3</v>
      </c>
      <c r="C85" s="3">
        <v>5</v>
      </c>
      <c r="D85" s="3">
        <v>2</v>
      </c>
      <c r="E85" s="3">
        <v>2</v>
      </c>
      <c r="F85" s="1"/>
      <c r="G85" s="1">
        <f t="shared" si="0"/>
        <v>2691</v>
      </c>
      <c r="H85" s="1">
        <f t="shared" si="1"/>
        <v>4485</v>
      </c>
      <c r="I85" s="1">
        <f t="shared" si="2"/>
        <v>16146</v>
      </c>
      <c r="J85" s="1">
        <f t="shared" si="3"/>
        <v>26910</v>
      </c>
    </row>
    <row r="86" spans="1:10" x14ac:dyDescent="0.25">
      <c r="A86" s="17">
        <v>0.5</v>
      </c>
      <c r="B86" s="18">
        <v>3</v>
      </c>
      <c r="C86" s="3">
        <v>5</v>
      </c>
      <c r="D86" s="3">
        <v>2</v>
      </c>
      <c r="E86" s="3">
        <v>2</v>
      </c>
      <c r="F86" s="1"/>
      <c r="G86" s="1">
        <f t="shared" si="0"/>
        <v>2691</v>
      </c>
      <c r="H86" s="1">
        <f t="shared" si="1"/>
        <v>4485</v>
      </c>
      <c r="I86" s="1">
        <f t="shared" si="2"/>
        <v>16146</v>
      </c>
      <c r="J86" s="1">
        <f t="shared" si="3"/>
        <v>26910</v>
      </c>
    </row>
    <row r="87" spans="1:10" x14ac:dyDescent="0.25">
      <c r="A87" s="17">
        <v>0.54166666666666663</v>
      </c>
      <c r="B87" s="18">
        <v>3</v>
      </c>
      <c r="C87" s="3">
        <v>5</v>
      </c>
      <c r="D87" s="3">
        <v>2</v>
      </c>
      <c r="E87" s="3">
        <v>2</v>
      </c>
      <c r="F87" s="1"/>
      <c r="G87" s="1">
        <f t="shared" si="0"/>
        <v>2691</v>
      </c>
      <c r="H87" s="1">
        <f t="shared" si="1"/>
        <v>4485</v>
      </c>
      <c r="I87" s="1">
        <f t="shared" si="2"/>
        <v>16146</v>
      </c>
      <c r="J87" s="1">
        <f t="shared" si="3"/>
        <v>26910</v>
      </c>
    </row>
    <row r="88" spans="1:10" x14ac:dyDescent="0.25">
      <c r="A88" s="17">
        <v>0.58333333333333337</v>
      </c>
      <c r="B88" s="18">
        <v>3</v>
      </c>
      <c r="C88" s="3">
        <v>5</v>
      </c>
      <c r="D88" s="3">
        <v>4</v>
      </c>
      <c r="E88" s="3">
        <v>3</v>
      </c>
      <c r="F88" s="1"/>
      <c r="G88" s="1">
        <f t="shared" si="0"/>
        <v>2691</v>
      </c>
      <c r="H88" s="1">
        <f t="shared" si="1"/>
        <v>4485</v>
      </c>
      <c r="I88" s="1">
        <f t="shared" si="2"/>
        <v>32292</v>
      </c>
      <c r="J88" s="1">
        <f t="shared" si="3"/>
        <v>40365</v>
      </c>
    </row>
    <row r="89" spans="1:10" x14ac:dyDescent="0.25">
      <c r="A89" s="17">
        <v>0.625</v>
      </c>
      <c r="B89" s="18">
        <v>3</v>
      </c>
      <c r="C89" s="3">
        <v>5</v>
      </c>
      <c r="D89" s="3">
        <v>6</v>
      </c>
      <c r="E89" s="3">
        <v>4</v>
      </c>
      <c r="F89" s="1"/>
      <c r="G89" s="1">
        <f t="shared" si="0"/>
        <v>2691</v>
      </c>
      <c r="H89" s="1">
        <f t="shared" si="1"/>
        <v>4485</v>
      </c>
      <c r="I89" s="1">
        <f t="shared" si="2"/>
        <v>48438</v>
      </c>
      <c r="J89" s="1">
        <f t="shared" si="3"/>
        <v>53820</v>
      </c>
    </row>
    <row r="90" spans="1:10" x14ac:dyDescent="0.25">
      <c r="A90" s="17">
        <v>0.66666666666666663</v>
      </c>
      <c r="B90" s="18">
        <v>3</v>
      </c>
      <c r="C90" s="3">
        <v>5</v>
      </c>
      <c r="D90" s="3">
        <v>8</v>
      </c>
      <c r="E90" s="3">
        <v>5</v>
      </c>
      <c r="F90" s="1"/>
      <c r="G90" s="1">
        <f t="shared" si="0"/>
        <v>2691</v>
      </c>
      <c r="H90" s="1">
        <f t="shared" si="1"/>
        <v>4485</v>
      </c>
      <c r="I90" s="1">
        <f t="shared" si="2"/>
        <v>64584</v>
      </c>
      <c r="J90" s="1">
        <f t="shared" si="3"/>
        <v>67275</v>
      </c>
    </row>
    <row r="91" spans="1:10" x14ac:dyDescent="0.25">
      <c r="A91" s="17">
        <v>0.70833333333333337</v>
      </c>
      <c r="B91" s="18">
        <v>4</v>
      </c>
      <c r="C91" s="3">
        <v>5</v>
      </c>
      <c r="D91" s="3">
        <v>10</v>
      </c>
      <c r="E91" s="3">
        <v>5</v>
      </c>
      <c r="F91" s="1"/>
      <c r="G91" s="1">
        <f t="shared" si="0"/>
        <v>3588</v>
      </c>
      <c r="H91" s="1">
        <f t="shared" si="1"/>
        <v>4485</v>
      </c>
      <c r="I91" s="1">
        <f t="shared" si="2"/>
        <v>107640</v>
      </c>
      <c r="J91" s="1">
        <f t="shared" si="3"/>
        <v>67275</v>
      </c>
    </row>
    <row r="92" spans="1:10" x14ac:dyDescent="0.25">
      <c r="A92" s="17">
        <v>0.75</v>
      </c>
      <c r="B92" s="18">
        <v>5</v>
      </c>
      <c r="C92" s="3">
        <v>5</v>
      </c>
      <c r="D92" s="3">
        <v>10</v>
      </c>
      <c r="E92" s="3">
        <v>5</v>
      </c>
      <c r="F92" s="1"/>
      <c r="G92" s="1">
        <f t="shared" si="0"/>
        <v>4485</v>
      </c>
      <c r="H92" s="1">
        <f t="shared" si="1"/>
        <v>4485</v>
      </c>
      <c r="I92" s="1">
        <f t="shared" si="2"/>
        <v>134550</v>
      </c>
      <c r="J92" s="1">
        <f t="shared" si="3"/>
        <v>67275</v>
      </c>
    </row>
    <row r="93" spans="1:10" x14ac:dyDescent="0.25">
      <c r="A93" s="17">
        <v>0.79166666666666663</v>
      </c>
      <c r="B93" s="18">
        <v>5</v>
      </c>
      <c r="C93" s="3">
        <v>5</v>
      </c>
      <c r="D93" s="3">
        <v>8</v>
      </c>
      <c r="E93" s="3">
        <v>4</v>
      </c>
      <c r="F93" s="1"/>
      <c r="G93" s="1">
        <f t="shared" si="0"/>
        <v>4485</v>
      </c>
      <c r="H93" s="1">
        <f t="shared" si="1"/>
        <v>4485</v>
      </c>
      <c r="I93" s="1">
        <f t="shared" si="2"/>
        <v>107640</v>
      </c>
      <c r="J93" s="1">
        <f t="shared" si="3"/>
        <v>53820</v>
      </c>
    </row>
    <row r="94" spans="1:10" x14ac:dyDescent="0.25">
      <c r="A94" s="17">
        <v>0.83333333333333337</v>
      </c>
      <c r="B94" s="18">
        <v>5</v>
      </c>
      <c r="C94" s="3">
        <v>5</v>
      </c>
      <c r="D94" s="3">
        <v>6</v>
      </c>
      <c r="E94" s="3">
        <v>3</v>
      </c>
      <c r="F94" s="1"/>
      <c r="G94" s="1">
        <f t="shared" si="0"/>
        <v>4485</v>
      </c>
      <c r="H94" s="1">
        <f t="shared" si="1"/>
        <v>4485</v>
      </c>
      <c r="I94" s="1">
        <f t="shared" si="2"/>
        <v>80730</v>
      </c>
      <c r="J94" s="1">
        <f t="shared" si="3"/>
        <v>40365</v>
      </c>
    </row>
    <row r="95" spans="1:10" x14ac:dyDescent="0.25">
      <c r="A95" s="17">
        <v>0.875</v>
      </c>
      <c r="B95" s="18">
        <v>5</v>
      </c>
      <c r="C95" s="3">
        <v>5</v>
      </c>
      <c r="D95" s="3">
        <v>4</v>
      </c>
      <c r="E95" s="3">
        <v>2</v>
      </c>
      <c r="F95" s="1"/>
      <c r="G95" s="1">
        <f t="shared" si="0"/>
        <v>4485</v>
      </c>
      <c r="H95" s="1">
        <f t="shared" si="1"/>
        <v>4485</v>
      </c>
      <c r="I95" s="1">
        <f t="shared" si="2"/>
        <v>53820</v>
      </c>
      <c r="J95" s="1">
        <f t="shared" si="3"/>
        <v>26910</v>
      </c>
    </row>
    <row r="96" spans="1:10" x14ac:dyDescent="0.25">
      <c r="A96" s="17">
        <v>0.91666666666666663</v>
      </c>
      <c r="B96" s="18">
        <v>3</v>
      </c>
      <c r="C96" s="3">
        <v>5</v>
      </c>
      <c r="D96" s="3">
        <v>2</v>
      </c>
      <c r="E96" s="3">
        <v>1</v>
      </c>
      <c r="F96" s="1"/>
      <c r="G96" s="1">
        <f t="shared" si="0"/>
        <v>2691</v>
      </c>
      <c r="H96" s="1">
        <f t="shared" si="1"/>
        <v>4485</v>
      </c>
      <c r="I96" s="1">
        <f t="shared" si="2"/>
        <v>16146</v>
      </c>
      <c r="J96" s="1">
        <f t="shared" si="3"/>
        <v>13455</v>
      </c>
    </row>
    <row r="97" spans="1:10" x14ac:dyDescent="0.25">
      <c r="A97" s="17">
        <v>0.95833333333333337</v>
      </c>
      <c r="B97" s="18">
        <v>1</v>
      </c>
      <c r="C97" s="3">
        <v>3</v>
      </c>
      <c r="D97" s="3">
        <v>1</v>
      </c>
      <c r="E97" s="3">
        <v>1</v>
      </c>
      <c r="F97" s="1"/>
      <c r="G97" s="1">
        <f t="shared" si="0"/>
        <v>897</v>
      </c>
      <c r="H97" s="1">
        <f t="shared" si="1"/>
        <v>2691</v>
      </c>
      <c r="I97" s="1">
        <f t="shared" si="2"/>
        <v>2691</v>
      </c>
      <c r="J97" s="1">
        <f t="shared" si="3"/>
        <v>8073</v>
      </c>
    </row>
    <row r="98" spans="1:10" x14ac:dyDescent="0.25">
      <c r="A98" s="2" t="s">
        <v>2</v>
      </c>
      <c r="B98" s="19">
        <f>SUM(B74:B97)</f>
        <v>77</v>
      </c>
      <c r="C98" s="19">
        <f>SUM(C74:C97)</f>
        <v>96</v>
      </c>
      <c r="D98" s="19">
        <f t="shared" ref="D98:E98" si="4">SUM(D74:D97)</f>
        <v>81</v>
      </c>
      <c r="E98" s="19">
        <f t="shared" si="4"/>
        <v>55</v>
      </c>
      <c r="G98" s="1">
        <f t="shared" ref="G98:H98" si="5">SUM(G74:G97)</f>
        <v>69069</v>
      </c>
      <c r="H98" s="1">
        <f t="shared" si="5"/>
        <v>86112</v>
      </c>
      <c r="I98" s="1">
        <f>SUM(I74:I97)</f>
        <v>842283</v>
      </c>
      <c r="J98" s="1">
        <f>SUM(J74:J97)</f>
        <v>675441</v>
      </c>
    </row>
    <row r="101" spans="1:10" x14ac:dyDescent="0.25">
      <c r="A101" s="55" t="s">
        <v>84</v>
      </c>
      <c r="B101" s="55"/>
      <c r="C101" s="55">
        <v>1325390400</v>
      </c>
      <c r="D101" s="56">
        <f>(C101)/(60*60*24)+"1/1/1970"</f>
        <v>40909.166666666664</v>
      </c>
      <c r="E101" s="55"/>
    </row>
    <row r="102" spans="1:10" x14ac:dyDescent="0.25">
      <c r="A102" s="55" t="s">
        <v>85</v>
      </c>
      <c r="B102" s="55"/>
      <c r="C102" s="56">
        <v>40853.083333333336</v>
      </c>
      <c r="D102" s="55">
        <f>((C102-"1/1/1970")*60*60*24)</f>
        <v>1320544800.0000002</v>
      </c>
      <c r="E102" s="5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GreenButtonDataSet">
                <anchor moveWithCells="1" sizeWithCells="1">
                  <from>
                    <xdr:col>0</xdr:col>
                    <xdr:colOff>0</xdr:colOff>
                    <xdr:row>0</xdr:row>
                    <xdr:rowOff>19050</xdr:rowOff>
                  </from>
                  <to>
                    <xdr:col>0</xdr:col>
                    <xdr:colOff>1657350</xdr:colOff>
                    <xdr:row>0</xdr:row>
                    <xdr:rowOff>762000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1"/>
  <sheetViews>
    <sheetView workbookViewId="0">
      <selection activeCell="E13" sqref="E13"/>
    </sheetView>
  </sheetViews>
  <sheetFormatPr defaultRowHeight="15" x14ac:dyDescent="0.25"/>
  <cols>
    <col min="1" max="1" width="87.7109375" customWidth="1"/>
    <col min="2" max="2" width="9.140625" style="46" bestFit="1" customWidth="1"/>
    <col min="3" max="3" width="9" style="46" bestFit="1" customWidth="1"/>
    <col min="4" max="4" width="11.140625" style="46" hidden="1" customWidth="1"/>
    <col min="5" max="5" width="9.7109375" style="46" customWidth="1"/>
    <col min="6" max="6" width="12" style="46" hidden="1" customWidth="1"/>
    <col min="8" max="8" width="10.5703125" customWidth="1"/>
    <col min="9" max="9" width="10.7109375" customWidth="1"/>
  </cols>
  <sheetData>
    <row r="1" spans="1:6" x14ac:dyDescent="0.25">
      <c r="A1" t="s">
        <v>59</v>
      </c>
    </row>
    <row r="2" spans="1:6" ht="15.75" x14ac:dyDescent="0.25">
      <c r="C2" s="52" t="s">
        <v>75</v>
      </c>
      <c r="D2" s="52"/>
      <c r="E2" s="52"/>
      <c r="F2" s="52"/>
    </row>
    <row r="3" spans="1:6" x14ac:dyDescent="0.25">
      <c r="A3" t="s">
        <v>60</v>
      </c>
      <c r="B3" s="46" t="s">
        <v>61</v>
      </c>
      <c r="C3" s="51" t="s">
        <v>62</v>
      </c>
      <c r="D3" s="46" t="s">
        <v>63</v>
      </c>
      <c r="E3" s="51" t="s">
        <v>64</v>
      </c>
      <c r="F3" s="46" t="s">
        <v>63</v>
      </c>
    </row>
    <row r="4" spans="1:6" x14ac:dyDescent="0.25">
      <c r="A4" t="s">
        <v>65</v>
      </c>
      <c r="B4" s="46">
        <v>0</v>
      </c>
      <c r="C4" s="47">
        <v>0</v>
      </c>
      <c r="D4" s="46">
        <f>C4*POWER(2,$B4)</f>
        <v>0</v>
      </c>
      <c r="E4" s="47">
        <v>0</v>
      </c>
      <c r="F4" s="46">
        <f t="shared" ref="F4:F9" si="0">E4*POWER(2,$B4)</f>
        <v>0</v>
      </c>
    </row>
    <row r="5" spans="1:6" x14ac:dyDescent="0.25">
      <c r="A5" t="s">
        <v>66</v>
      </c>
      <c r="B5" s="46">
        <v>12</v>
      </c>
      <c r="C5" s="47">
        <v>2</v>
      </c>
      <c r="D5" s="46">
        <f t="shared" ref="D5:D9" si="1">C5*POWER(2,$B5)</f>
        <v>8192</v>
      </c>
      <c r="E5" s="47" t="s">
        <v>81</v>
      </c>
      <c r="F5" s="46">
        <f t="shared" si="0"/>
        <v>8192</v>
      </c>
    </row>
    <row r="6" spans="1:6" x14ac:dyDescent="0.25">
      <c r="A6" t="s">
        <v>67</v>
      </c>
      <c r="B6" s="46">
        <v>17</v>
      </c>
      <c r="C6" s="47">
        <v>7</v>
      </c>
      <c r="D6" s="46">
        <f t="shared" si="1"/>
        <v>917504</v>
      </c>
      <c r="E6" s="47">
        <v>7</v>
      </c>
      <c r="F6" s="46">
        <f t="shared" si="0"/>
        <v>917504</v>
      </c>
    </row>
    <row r="7" spans="1:6" x14ac:dyDescent="0.25">
      <c r="A7" t="s">
        <v>68</v>
      </c>
      <c r="B7" s="46">
        <v>20</v>
      </c>
      <c r="C7" s="47">
        <v>0</v>
      </c>
      <c r="D7" s="46">
        <f t="shared" si="1"/>
        <v>0</v>
      </c>
      <c r="E7" s="47">
        <v>0</v>
      </c>
      <c r="F7" s="46">
        <f t="shared" si="0"/>
        <v>0</v>
      </c>
    </row>
    <row r="8" spans="1:6" ht="135" x14ac:dyDescent="0.25">
      <c r="A8" s="2" t="s">
        <v>69</v>
      </c>
      <c r="B8" s="46">
        <v>25</v>
      </c>
      <c r="C8" s="47">
        <v>3</v>
      </c>
      <c r="D8" s="46">
        <f t="shared" si="1"/>
        <v>100663296</v>
      </c>
      <c r="E8" s="47">
        <v>2</v>
      </c>
      <c r="F8" s="46">
        <f t="shared" si="0"/>
        <v>67108864</v>
      </c>
    </row>
    <row r="9" spans="1:6" x14ac:dyDescent="0.25">
      <c r="A9" t="s">
        <v>70</v>
      </c>
      <c r="B9" s="46">
        <v>28</v>
      </c>
      <c r="C9" s="47">
        <v>3</v>
      </c>
      <c r="D9" s="46">
        <f t="shared" si="1"/>
        <v>805306368</v>
      </c>
      <c r="E9" s="47">
        <v>11</v>
      </c>
      <c r="F9" s="46">
        <f t="shared" si="0"/>
        <v>2952790016</v>
      </c>
    </row>
    <row r="10" spans="1:6" x14ac:dyDescent="0.25">
      <c r="A10" t="s">
        <v>2</v>
      </c>
      <c r="D10" s="46">
        <f>SUM(D4:D9)</f>
        <v>906895360</v>
      </c>
      <c r="F10" s="46">
        <f>SUM(F4:F9)</f>
        <v>3020824576</v>
      </c>
    </row>
    <row r="11" spans="1:6" x14ac:dyDescent="0.25">
      <c r="A11" t="s">
        <v>76</v>
      </c>
      <c r="C11" s="48" t="str">
        <f>DEC2HEX(D10)</f>
        <v>360E2000</v>
      </c>
      <c r="E11" s="48" t="str">
        <f>DEC2HEX(F10)</f>
        <v>B40E2000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53</vt:i4>
      </vt:variant>
    </vt:vector>
  </HeadingPairs>
  <TitlesOfParts>
    <vt:vector size="56" baseType="lpstr">
      <vt:lpstr>Overview</vt:lpstr>
      <vt:lpstr>EUIGenerator</vt:lpstr>
      <vt:lpstr>DSTRuleCalculator</vt:lpstr>
      <vt:lpstr>ACCUMULATION_BEHAVIOR</vt:lpstr>
      <vt:lpstr>ADDITIONAL_CHARGES</vt:lpstr>
      <vt:lpstr>BASE_COST</vt:lpstr>
      <vt:lpstr>BASE_COST_B</vt:lpstr>
      <vt:lpstr>BATCH_INDEX</vt:lpstr>
      <vt:lpstr>BLOCK_DURATION</vt:lpstr>
      <vt:lpstr>COMMODITY</vt:lpstr>
      <vt:lpstr>CUSTOMER_TITLE</vt:lpstr>
      <vt:lpstr>CUSTOMER_URL</vt:lpstr>
      <vt:lpstr>DATA_QUALIFIER</vt:lpstr>
      <vt:lpstr>DST_END_RULE</vt:lpstr>
      <vt:lpstr>DST_OFFSET</vt:lpstr>
      <vt:lpstr>DST_START_RULE</vt:lpstr>
      <vt:lpstr>DURATION_OF_LAST_BILLING_PERIOD</vt:lpstr>
      <vt:lpstr>END_OF_BILLING_PERIOD</vt:lpstr>
      <vt:lpstr>END_OF_SIMULATION</vt:lpstr>
      <vt:lpstr>EXTERNAL_DATA_FNAME</vt:lpstr>
      <vt:lpstr>FLOW_DIRECTION</vt:lpstr>
      <vt:lpstr>INCLUDE_HEADER_COMMENT</vt:lpstr>
      <vt:lpstr>INTERVAL_BLOCK_INDEX</vt:lpstr>
      <vt:lpstr>INTERVAL_DURATION</vt:lpstr>
      <vt:lpstr>KIND</vt:lpstr>
      <vt:lpstr>METER_READING_INDEX</vt:lpstr>
      <vt:lpstr>METER_READING_TITLE</vt:lpstr>
      <vt:lpstr>MeterReadingIndex</vt:lpstr>
      <vt:lpstr>OUTPUT_FILENAME</vt:lpstr>
      <vt:lpstr>PHASE</vt:lpstr>
      <vt:lpstr>POWER_OF_TEN_MULTIPLIER</vt:lpstr>
      <vt:lpstr>POWER_OF_TEN_MULTIPLIER_B</vt:lpstr>
      <vt:lpstr>RAW_INTERVAL_DATA_MULTIPLIER</vt:lpstr>
      <vt:lpstr>READING_TYPE_INDEX</vt:lpstr>
      <vt:lpstr>RUN_STATUS</vt:lpstr>
      <vt:lpstr>SERVICE_KIND</vt:lpstr>
      <vt:lpstr>START_OF_BILLING_PERIOD</vt:lpstr>
      <vt:lpstr>START_USAGE_WEEKDAY</vt:lpstr>
      <vt:lpstr>STRTOUX_IN</vt:lpstr>
      <vt:lpstr>STRTOUX_OUT</vt:lpstr>
      <vt:lpstr>TIME_ATTRIBUTE</vt:lpstr>
      <vt:lpstr>TIMZONE_OFFSET</vt:lpstr>
      <vt:lpstr>TIMZONE_TITLE</vt:lpstr>
      <vt:lpstr>TOTAL_BILL_LAST_BILLING_PERIOD</vt:lpstr>
      <vt:lpstr>TOTAL_COST_CURRENT_PERIOD</vt:lpstr>
      <vt:lpstr>TOTAL_COST_USAGE_BILLING_PERIOD</vt:lpstr>
      <vt:lpstr>TOTAL_USAGE_BILLING_PERIOD</vt:lpstr>
      <vt:lpstr>TOTAL_USAGE_CURRENT_PERIOD</vt:lpstr>
      <vt:lpstr>TYPICAL_USAGE</vt:lpstr>
      <vt:lpstr>TYPICAL_USAGE_A</vt:lpstr>
      <vt:lpstr>TYPICAL_USAGE_B</vt:lpstr>
      <vt:lpstr>UOM</vt:lpstr>
      <vt:lpstr>USAGE_POINT_INDEX</vt:lpstr>
      <vt:lpstr>UXTOSTR_IN</vt:lpstr>
      <vt:lpstr>UXTOSTR_OUT</vt:lpstr>
      <vt:lpstr>WORKSHEET_FOR_WEIGHTING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Dr. Martin J. Burns</cp:lastModifiedBy>
  <dcterms:created xsi:type="dcterms:W3CDTF">2006-09-16T00:00:00Z</dcterms:created>
  <dcterms:modified xsi:type="dcterms:W3CDTF">2012-06-07T17:00:39Z</dcterms:modified>
</cp:coreProperties>
</file>