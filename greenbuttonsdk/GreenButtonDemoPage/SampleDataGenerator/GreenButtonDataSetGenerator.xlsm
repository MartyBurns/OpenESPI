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120" windowWidth="29745" windowHeight="11715"/>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EUIGenerator!$A$34</definedName>
    <definedName name="ADDITIONAL_CHARGES">EUIGenerator!$A$16</definedName>
    <definedName name="BASE_COST">EUIGenerator!$A$15</definedName>
    <definedName name="BASE_COST_B">EUIGenerator!#REF!</definedName>
    <definedName name="BATCH_INDEX">EUIGenerator!$A$42</definedName>
    <definedName name="BLOCK_DURATION">EUIGenerator!$A$29</definedName>
    <definedName name="COMMODITY">EUIGenerator!$A$35</definedName>
    <definedName name="CUSTOMER_TITLE">EUIGenerator!$A$17</definedName>
    <definedName name="CUSTOMER_URL">EUIGenerator!$A$48</definedName>
    <definedName name="DATA_QUALIFIER">EUIGenerator!$A$36</definedName>
    <definedName name="DISABLE_COST">EUIGenerator!$A$49</definedName>
    <definedName name="DO_RANDOMIZE">EUIGenerator!$A$19</definedName>
    <definedName name="DST_END_RULE">EUIGenerator!$A$26</definedName>
    <definedName name="DST_OFFSET">EUIGenerator!$A$24</definedName>
    <definedName name="DST_START_RULE">EUIGenerator!$A$25</definedName>
    <definedName name="DURATION_OF_LAST_BILLING_PERIOD">EUIGenerator!$A$12</definedName>
    <definedName name="END_OF_BILLING_PERIOD">EUIGenerator!#REF!</definedName>
    <definedName name="END_OF_SIMULATION">EUIGenerator!$A$13</definedName>
    <definedName name="EXTERNAL_DATA_FNAME">EUIGenerator!$A$5</definedName>
    <definedName name="FLOW_DIRECTION">EUIGenerator!$A$37</definedName>
    <definedName name="INCLUDE_HEADER_COMMENT">EUIGenerator!$A$27</definedName>
    <definedName name="INCLUDE_IN_SIM">EUIGenerator!$A$8</definedName>
    <definedName name="INTERVAL_BLOCK_INDEX">EUIGenerator!$A$41</definedName>
    <definedName name="INTERVAL_DURATION">EUIGenerator!$A$28</definedName>
    <definedName name="KIND">EUIGenerator!$A$38</definedName>
    <definedName name="LOCAL_TIME_INDEX">EUIGenerator!$A$47</definedName>
    <definedName name="METER_READING_INDEX">EUIGenerator!$A$43</definedName>
    <definedName name="METER_READING_TITLE">EUIGenerator!$A$21</definedName>
    <definedName name="MeterReadingIndex">EUIGenerator!$D$43</definedName>
    <definedName name="OUTPUT_FILENAME">EUIGenerator!$A$9</definedName>
    <definedName name="PHASE">EUIGenerator!$A$40</definedName>
    <definedName name="POWER_OF_TEN_MULTIPLIER">EUIGenerator!$A$31</definedName>
    <definedName name="POWER_OF_TEN_MULTIPLIER_B">EUIGenerator!#REF!</definedName>
    <definedName name="PUBLISH_DATE">EUIGenerator!$A$52</definedName>
    <definedName name="RANDOM_URN">EUIGenerator!$A$54</definedName>
    <definedName name="RAW_INTERVAL_DATA_MULTIPLIER">EUIGenerator!$A$6</definedName>
    <definedName name="READING_TYPE_INDEX">EUIGenerator!$A$44</definedName>
    <definedName name="RUN_STATUS">EUIGenerator!$A$2</definedName>
    <definedName name="SERVICE_KIND">EUIGenerator!$A$32</definedName>
    <definedName name="START_OF_BILLING_PERIOD">EUIGenerator!$A$11</definedName>
    <definedName name="START_OF_SIMULATION">EUIGenerator!$A$10</definedName>
    <definedName name="START_USAGE_WEEKDAY">EUIGenerator!#REF!</definedName>
    <definedName name="STRTOUX_IN">EUIGenerator!#REF!</definedName>
    <definedName name="STRTOUX_OUT">EUIGenerator!#REF!</definedName>
    <definedName name="TARIFF_MODEL">EUIGenerator!$A$50</definedName>
    <definedName name="TARIFF_MODEL_NAME">EUIGenerator!$A$51</definedName>
    <definedName name="TIME_ATTRIBUTE">EUIGenerator!$A$39</definedName>
    <definedName name="TIMZONE_OFFSET">EUIGenerator!$A$23</definedName>
    <definedName name="TIMZONE_TITLE">EUIGenerator!$A$22</definedName>
    <definedName name="TOTAL_BILL_LAST_BILLING_PERIOD">EUIGenerator!$A$58</definedName>
    <definedName name="TOTAL_COST_CURRENT_PERIOD">EUIGenerator!$A$60</definedName>
    <definedName name="TOTAL_COST_USAGE_BILLING_PERIOD">EUIGenerator!$A$57</definedName>
    <definedName name="TOTAL_USAGE_BILLING_PERIOD">EUIGenerator!$A$59</definedName>
    <definedName name="TOTAL_USAGE_CURRENT_PERIOD">EUIGenerator!$A$61</definedName>
    <definedName name="TYPICAL_USAGE">EUIGenerator!$A$14</definedName>
    <definedName name="TYPICAL_USAGE_A">EUIGenerator!$A$14</definedName>
    <definedName name="TYPICAL_USAGE_B">EUIGenerator!#REF!</definedName>
    <definedName name="UOM">EUIGenerator!$A$33</definedName>
    <definedName name="UPDATE_DATE">EUIGenerator!$A$53</definedName>
    <definedName name="USAGE_POINT_INDEX">EUIGenerator!$A$45</definedName>
    <definedName name="USAGE_SUMMARY_INDEX">EUIGenerator!$A$46</definedName>
    <definedName name="UXTOSTR_IN">EUIGenerator!#REF!</definedName>
    <definedName name="UXTOSTR_OUT">EUIGenerator!#REF!</definedName>
    <definedName name="WORKSHEET_FOR_WEIGHTING">EUIGenerator!$A$18</definedName>
  </definedNames>
  <calcPr calcId="145621"/>
</workbook>
</file>

<file path=xl/calcChain.xml><?xml version="1.0" encoding="utf-8"?>
<calcChain xmlns="http://schemas.openxmlformats.org/spreadsheetml/2006/main">
  <c r="B15" i="1" l="1"/>
  <c r="E22" i="3" l="1"/>
  <c r="E21" i="3"/>
  <c r="E44" i="4" l="1"/>
  <c r="D44" i="4"/>
  <c r="C44" i="4"/>
  <c r="B44" i="4"/>
  <c r="B10" i="4"/>
  <c r="B9" i="4" l="1"/>
  <c r="B11" i="4"/>
  <c r="AA23"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Z23" i="1"/>
  <c r="Y23"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<sst xmlns="http://schemas.openxmlformats.org/spreadsheetml/2006/main" count="641" uniqueCount="165">
  <si>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</si>
  <si>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</si>
  <si>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</si>
  <si>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</si>
  <si>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</si>
  <si>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</si>
  <si>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</si>
  <si>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</si>
  <si>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</si>
  <si>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</si>
  <si>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</si>
  <si>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</si>
  <si>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</si>
  <si>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</si>
  <si>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</si>
  <si>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</si>
  <si>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</si>
  <si>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</si>
  <si>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</si>
  <si>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</si>
  <si>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</si>
  <si>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</si>
  <si>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</si>
  <si>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</si>
  <si>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</si>
  <si>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</si>
  <si>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</si>
  <si>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</si>
  <si>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</si>
  <si>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</si>
  <si>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</si>
  <si>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</si>
  <si>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</si>
  <si>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</si>
  <si>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</si>
  <si>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</si>
  <si>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</si>
  <si>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</si>
  <si>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</si>
  <si>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</si>
  <si>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</si>
  <si>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</si>
  <si>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</si>
  <si>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</si>
  <si>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</si>
  <si>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</si>
  <si>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</si>
  <si>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</si>
  <si>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</si>
  <si>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</si>
  <si>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</si>
  <si>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</si>
  <si>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</si>
  <si>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</si>
  <si>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</si>
  <si>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</si>
  <si>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</si>
  <si>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</si>
  <si>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</si>
  <si>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</si>
  <si>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</si>
  <si>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</si>
  <si>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</si>
  <si>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</si>
  <si>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</si>
  <si>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</si>
  <si>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</si>
  <si>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</si>
  <si>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</si>
  <si>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</si>
  <si>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</si>
  <si>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</si>
  <si>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</si>
  <si>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</si>
  <si>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</si>
  <si>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</si>
  <si>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</si>
  <si>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</si>
  <si>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</si>
  <si>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</si>
  <si>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</si>
  <si>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</si>
  <si>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</si>
  <si>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</si>
  <si>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</si>
  <si>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</si>
  <si>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</si>
  <si>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</si>
  <si>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</si>
  <si>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</si>
  <si>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</si>
  <si>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</si>
  <si>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</si>
  <si>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</si>
  <si>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</si>
  <si>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</si>
  <si>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</si>
  <si>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</si>
  <si>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</si>
  <si>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</si>
  <si>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</si>
  <si>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</si>
  <si>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</si>
  <si>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</si>
  <si>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</si>
  <si>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</si>
  <si>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</si>
  <si>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</si>
  <si>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</si>
  <si>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</si>
  <si>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</si>
  <si>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</si>
  <si>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</si>
  <si>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</si>
  <si>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</si>
  <si>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</si>
  <si>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</si>
  <si>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</si>
  <si>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</si>
  <si>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</si>
  <si>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</si>
  <si>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</si>
  <si>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</si>
  <si>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</si>
  <si>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</si>
  <si>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</si>
  <si>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</si>
  <si>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</si>
  <si>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</si>
  <si>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</si>
  <si>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</si>
  <si>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</si>
  <si>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</si>
  <si>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RetailCustomer/9b6c7063</t>
  </si>
  <si>
    <t>UsageSummary Index</t>
  </si>
  <si>
    <t>YES</t>
  </si>
  <si>
    <t>Tariff Profile</t>
  </si>
  <si>
    <t>sample tariff showing block and tier pricing</t>
  </si>
  <si>
    <t>./TariffSample.xml</t>
  </si>
  <si>
    <t>Tariff Profile Name</t>
  </si>
  <si>
    <t>1hrLP_32DaysNoCost.xml</t>
  </si>
  <si>
    <t>Weighting1</t>
  </si>
  <si>
    <t>LocalTimeParametersIndex</t>
  </si>
  <si>
    <t>02</t>
  </si>
  <si>
    <t>08</t>
  </si>
  <si>
    <t>Disable Cost Generation (use YES to disable)</t>
  </si>
  <si>
    <t>Generate random simulation data (use YES to enable)</t>
  </si>
  <si>
    <t>UTC to date-time</t>
  </si>
  <si>
    <t>Date-time to UTC</t>
  </si>
  <si>
    <t>Universal Time Calculator (no time zone or DST)</t>
  </si>
  <si>
    <t>Start of Simulation</t>
  </si>
  <si>
    <t>Start of Last Billing Period</t>
  </si>
  <si>
    <t>Monthly Electricity Consumption</t>
  </si>
  <si>
    <t>User/9b6c7063</t>
  </si>
  <si>
    <t>MonthlyOnlyElectricData.xml</t>
  </si>
  <si>
    <t>Publish date</t>
  </si>
  <si>
    <t>Update date</t>
  </si>
  <si>
    <t>Randomize URNs</t>
  </si>
  <si>
    <t>`</t>
  </si>
  <si>
    <t>Include in simulation (use X to enable)</t>
  </si>
  <si>
    <t>X</t>
  </si>
  <si>
    <t>Interval Block Duration (Secs or Daily or Monthly)</t>
  </si>
  <si>
    <t>Interval Duration (Secs or Daily or Monthly)</t>
  </si>
  <si>
    <t>Date: 22 Jan 2013</t>
  </si>
  <si>
    <t>Version 0.7.20130122</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</si>
</sst>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5">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cellStyleXfs>
  <cellXfs count="73">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0" fontId="5" fillId="0" borderId="0" xfId="9"/>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cellXfs>
  <cellStyles count="15">
    <cellStyle name="20% - Accent3" xfId="5" builtinId="38"/>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GenerateGreenButton Data Files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tabSelected="1" workbookViewId="0">
      <selection activeCell="A2" sqref="A2"/>
    </sheetView>
  </sheetViews>
  <sheetFormatPr defaultRowHeight="15" x14ac:dyDescent="0.25"/>
  <cols>
    <col min="1" max="1" width="111.140625" style="2" customWidth="1"/>
  </cols>
  <sheetData>
    <row r="1" spans="1:1" ht="18.75" x14ac:dyDescent="0.3">
      <c r="A1" s="41" t="s">
        <v>12</v>
      </c>
    </row>
    <row r="2" spans="1:1" ht="18.75" x14ac:dyDescent="0.3">
      <c r="A2" s="41" t="s">
        <v>164</v>
      </c>
    </row>
    <row r="3" spans="1:1" ht="18.75" x14ac:dyDescent="0.3">
      <c r="A3" s="41" t="s">
        <v>163</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62"/>
  <sheetViews>
    <sheetView zoomScale="90" zoomScaleNormal="90" workbookViewId="0">
      <pane xSplit="1" ySplit="2" topLeftCell="B3" activePane="bottomRight" state="frozen"/>
      <selection pane="topRight" activeCell="B1" sqref="B1"/>
      <selection pane="bottomLeft" activeCell="A4" sqref="A4"/>
      <selection pane="bottomRight" activeCell="B18" sqref="B18"/>
    </sheetView>
  </sheetViews>
  <sheetFormatPr defaultRowHeight="15" x14ac:dyDescent="0.25"/>
  <cols>
    <col min="1" max="1" width="50.140625" style="2" customWidth="1"/>
    <col min="2" max="3" width="32.140625" style="2" customWidth="1"/>
    <col min="4" max="27" width="25.42578125" customWidth="1"/>
  </cols>
  <sheetData>
    <row r="1" spans="1:27" ht="74.25" customHeight="1" x14ac:dyDescent="0.25">
      <c r="A1" s="7">
        <f ca="1">NOW()</f>
        <v>41296.574477199072</v>
      </c>
      <c r="B1"/>
      <c r="C1"/>
    </row>
    <row r="2" spans="1:27" s="29" customFormat="1" x14ac:dyDescent="0.25">
      <c r="A2" s="27" t="s">
        <v>42</v>
      </c>
      <c r="B2" s="27" t="s">
        <v>43</v>
      </c>
      <c r="C2" s="27" t="s">
        <v>43</v>
      </c>
      <c r="D2" s="27" t="s">
        <v>43</v>
      </c>
      <c r="E2" s="27" t="s">
        <v>43</v>
      </c>
      <c r="F2" s="27" t="s">
        <v>43</v>
      </c>
      <c r="G2" s="27" t="s">
        <v>43</v>
      </c>
      <c r="H2" s="27" t="s">
        <v>43</v>
      </c>
      <c r="I2" s="27" t="s">
        <v>43</v>
      </c>
      <c r="J2" s="29" t="s">
        <v>43</v>
      </c>
      <c r="K2" s="29" t="s">
        <v>43</v>
      </c>
      <c r="L2" s="29" t="s">
        <v>43</v>
      </c>
      <c r="M2" s="29" t="s">
        <v>43</v>
      </c>
      <c r="N2" s="29" t="s">
        <v>43</v>
      </c>
      <c r="O2" s="29" t="s">
        <v>43</v>
      </c>
      <c r="P2" s="29" t="s">
        <v>43</v>
      </c>
      <c r="Q2" s="29" t="s">
        <v>43</v>
      </c>
      <c r="R2" s="29" t="s">
        <v>43</v>
      </c>
      <c r="S2" s="29" t="s">
        <v>43</v>
      </c>
      <c r="T2" s="29" t="s">
        <v>43</v>
      </c>
      <c r="U2" s="29" t="s">
        <v>43</v>
      </c>
      <c r="V2" s="29" t="s">
        <v>43</v>
      </c>
      <c r="W2" s="29" t="s">
        <v>43</v>
      </c>
      <c r="X2" s="29" t="s">
        <v>43</v>
      </c>
      <c r="Y2" s="29" t="s">
        <v>43</v>
      </c>
      <c r="Z2" s="29" t="s">
        <v>43</v>
      </c>
      <c r="AA2" s="29" t="s">
        <v>43</v>
      </c>
    </row>
    <row r="3" spans="1:27" s="30" customFormat="1" ht="18.75" x14ac:dyDescent="0.3">
      <c r="A3" s="26" t="s">
        <v>38</v>
      </c>
    </row>
    <row r="4" spans="1:27" s="30" customFormat="1" ht="18.75" x14ac:dyDescent="0.3">
      <c r="A4" s="26"/>
    </row>
    <row r="5" spans="1:27" s="31" customFormat="1" x14ac:dyDescent="0.25">
      <c r="A5" s="24" t="s">
        <v>36</v>
      </c>
      <c r="B5" s="21"/>
      <c r="C5" s="21"/>
      <c r="D5" s="21"/>
      <c r="E5" s="21"/>
      <c r="F5" s="21"/>
      <c r="G5" s="21"/>
      <c r="H5" s="21"/>
      <c r="I5" s="21"/>
      <c r="Y5" s="21" t="s">
        <v>132</v>
      </c>
      <c r="Z5" s="21" t="s">
        <v>112</v>
      </c>
      <c r="AA5" s="21" t="s">
        <v>113</v>
      </c>
    </row>
    <row r="6" spans="1:27" s="31" customFormat="1" ht="30" x14ac:dyDescent="0.25">
      <c r="A6" s="43" t="s">
        <v>49</v>
      </c>
      <c r="B6" s="21"/>
      <c r="C6" s="21"/>
      <c r="D6" s="21"/>
      <c r="E6" s="21"/>
      <c r="F6" s="21"/>
      <c r="G6" s="21"/>
      <c r="H6" s="21"/>
      <c r="I6" s="21"/>
      <c r="J6" s="25"/>
      <c r="K6" s="25"/>
      <c r="L6" s="25"/>
      <c r="Y6" s="25">
        <v>1000</v>
      </c>
      <c r="Z6" s="25">
        <v>1000</v>
      </c>
      <c r="AA6" s="25">
        <v>1000</v>
      </c>
    </row>
    <row r="7" spans="1:27" s="33" customFormat="1" ht="18.75" x14ac:dyDescent="0.3">
      <c r="A7" s="34" t="s">
        <v>39</v>
      </c>
    </row>
    <row r="8" spans="1:27" s="33" customFormat="1" x14ac:dyDescent="0.25">
      <c r="A8" s="54" t="s">
        <v>159</v>
      </c>
      <c r="B8" s="72" t="s">
        <v>160</v>
      </c>
      <c r="C8" s="72" t="s">
        <v>160</v>
      </c>
      <c r="D8" s="72" t="s">
        <v>160</v>
      </c>
      <c r="E8" s="72" t="s">
        <v>160</v>
      </c>
      <c r="F8" s="72" t="s">
        <v>160</v>
      </c>
      <c r="G8" s="72" t="s">
        <v>160</v>
      </c>
      <c r="H8" s="72" t="s">
        <v>160</v>
      </c>
      <c r="I8" s="72" t="s">
        <v>160</v>
      </c>
      <c r="J8" s="72" t="s">
        <v>160</v>
      </c>
      <c r="K8" s="72" t="s">
        <v>160</v>
      </c>
      <c r="L8" s="72" t="s">
        <v>160</v>
      </c>
      <c r="M8" s="72" t="s">
        <v>160</v>
      </c>
      <c r="N8" s="72" t="s">
        <v>160</v>
      </c>
      <c r="O8" s="72" t="s">
        <v>160</v>
      </c>
      <c r="P8" s="72" t="s">
        <v>160</v>
      </c>
      <c r="Q8" s="72" t="s">
        <v>160</v>
      </c>
      <c r="R8" s="72" t="s">
        <v>160</v>
      </c>
      <c r="S8" s="72" t="s">
        <v>160</v>
      </c>
      <c r="T8" s="72" t="s">
        <v>160</v>
      </c>
      <c r="U8" s="72" t="s">
        <v>160</v>
      </c>
      <c r="V8" s="72" t="s">
        <v>160</v>
      </c>
      <c r="W8" s="72" t="s">
        <v>160</v>
      </c>
      <c r="X8" s="72" t="s">
        <v>160</v>
      </c>
      <c r="Y8" s="72" t="s">
        <v>160</v>
      </c>
      <c r="Z8" s="72" t="s">
        <v>160</v>
      </c>
      <c r="AA8" s="72" t="s">
        <v>160</v>
      </c>
    </row>
    <row r="9" spans="1:27" s="31" customFormat="1" x14ac:dyDescent="0.25">
      <c r="A9" s="32" t="s">
        <v>35</v>
      </c>
      <c r="B9" s="21" t="s">
        <v>154</v>
      </c>
      <c r="C9" s="21" t="s">
        <v>140</v>
      </c>
      <c r="D9" s="21" t="s">
        <v>77</v>
      </c>
      <c r="E9" s="21" t="s">
        <v>78</v>
      </c>
      <c r="F9" s="21" t="s">
        <v>79</v>
      </c>
      <c r="G9" s="31" t="s">
        <v>99</v>
      </c>
      <c r="H9" s="31" t="s">
        <v>80</v>
      </c>
      <c r="I9" s="31" t="s">
        <v>81</v>
      </c>
      <c r="J9" s="31" t="s">
        <v>82</v>
      </c>
      <c r="K9" s="31" t="s">
        <v>83</v>
      </c>
      <c r="L9" s="21" t="s">
        <v>89</v>
      </c>
      <c r="M9" s="31" t="s">
        <v>100</v>
      </c>
      <c r="N9" s="31" t="s">
        <v>101</v>
      </c>
      <c r="O9" s="31" t="s">
        <v>102</v>
      </c>
      <c r="P9" s="31" t="s">
        <v>103</v>
      </c>
      <c r="Q9" s="31" t="s">
        <v>104</v>
      </c>
      <c r="R9" s="31" t="s">
        <v>105</v>
      </c>
      <c r="S9" s="31" t="s">
        <v>106</v>
      </c>
      <c r="T9" s="31" t="s">
        <v>107</v>
      </c>
      <c r="U9" s="31" t="s">
        <v>108</v>
      </c>
      <c r="V9" s="31" t="s">
        <v>109</v>
      </c>
      <c r="W9" s="31" t="s">
        <v>110</v>
      </c>
      <c r="X9" s="31" t="s">
        <v>111</v>
      </c>
    </row>
    <row r="10" spans="1:27" s="31" customFormat="1" x14ac:dyDescent="0.25">
      <c r="A10" s="54" t="s">
        <v>150</v>
      </c>
      <c r="B10" s="8">
        <v>40781</v>
      </c>
      <c r="C10" s="8">
        <v>41000</v>
      </c>
      <c r="D10" s="8">
        <v>41000</v>
      </c>
      <c r="E10" s="8">
        <v>40969</v>
      </c>
      <c r="F10" s="8">
        <v>40969</v>
      </c>
      <c r="G10" s="8">
        <v>41000</v>
      </c>
      <c r="H10" s="8">
        <v>41000</v>
      </c>
      <c r="I10" s="8">
        <v>40634</v>
      </c>
      <c r="J10" s="8">
        <v>41000</v>
      </c>
      <c r="K10" s="8">
        <v>40634</v>
      </c>
      <c r="L10" s="8">
        <v>40909</v>
      </c>
      <c r="M10" s="8">
        <v>40544</v>
      </c>
      <c r="N10" s="8">
        <v>40575</v>
      </c>
      <c r="O10" s="8">
        <v>40603</v>
      </c>
      <c r="P10" s="8">
        <v>40634</v>
      </c>
      <c r="Q10" s="8">
        <v>40664</v>
      </c>
      <c r="R10" s="8">
        <v>40695</v>
      </c>
      <c r="S10" s="8">
        <v>40725</v>
      </c>
      <c r="T10" s="8">
        <v>40756</v>
      </c>
      <c r="U10" s="8">
        <v>40787</v>
      </c>
      <c r="V10" s="8">
        <v>40817</v>
      </c>
      <c r="W10" s="8">
        <v>40848</v>
      </c>
      <c r="X10" s="8">
        <v>40878</v>
      </c>
      <c r="Y10" s="21"/>
      <c r="Z10" s="21"/>
      <c r="AA10" s="62"/>
    </row>
    <row r="11" spans="1:27" s="31" customFormat="1" x14ac:dyDescent="0.25">
      <c r="A11" s="54" t="s">
        <v>151</v>
      </c>
      <c r="B11" s="8">
        <v>41147</v>
      </c>
      <c r="C11" s="8">
        <v>41000</v>
      </c>
      <c r="D11" s="8">
        <v>41000</v>
      </c>
      <c r="E11" s="8">
        <v>40969</v>
      </c>
      <c r="F11" s="8">
        <v>40969</v>
      </c>
      <c r="G11" s="8">
        <v>41000</v>
      </c>
      <c r="H11" s="8">
        <v>41000</v>
      </c>
      <c r="I11" s="8">
        <v>40969</v>
      </c>
      <c r="J11" s="8">
        <v>41000</v>
      </c>
      <c r="K11" s="8">
        <v>40634</v>
      </c>
      <c r="L11" s="8">
        <v>40909</v>
      </c>
      <c r="M11" s="8">
        <v>40544</v>
      </c>
      <c r="N11" s="8">
        <v>40575</v>
      </c>
      <c r="O11" s="8">
        <v>40603</v>
      </c>
      <c r="P11" s="8">
        <v>40634</v>
      </c>
      <c r="Q11" s="8">
        <v>40664</v>
      </c>
      <c r="R11" s="8">
        <v>40695</v>
      </c>
      <c r="S11" s="8">
        <v>40725</v>
      </c>
      <c r="T11" s="8">
        <v>40756</v>
      </c>
      <c r="U11" s="8">
        <v>40787</v>
      </c>
      <c r="V11" s="8">
        <v>40817</v>
      </c>
      <c r="W11" s="8">
        <v>40848</v>
      </c>
      <c r="X11" s="8">
        <v>40878</v>
      </c>
      <c r="Y11" s="8"/>
      <c r="Z11" s="8"/>
      <c r="AA11" s="8"/>
    </row>
    <row r="12" spans="1:27" s="31" customFormat="1" x14ac:dyDescent="0.25">
      <c r="A12" s="32" t="s">
        <v>31</v>
      </c>
      <c r="B12" s="18">
        <v>31</v>
      </c>
      <c r="C12" s="18">
        <v>30</v>
      </c>
      <c r="D12" s="18">
        <v>30</v>
      </c>
      <c r="E12" s="18">
        <v>13</v>
      </c>
      <c r="F12" s="18">
        <v>30</v>
      </c>
      <c r="G12" s="18">
        <v>30</v>
      </c>
      <c r="H12" s="18">
        <v>30</v>
      </c>
      <c r="I12" s="18">
        <v>31</v>
      </c>
      <c r="J12" s="18">
        <v>30</v>
      </c>
      <c r="K12" s="18">
        <v>30</v>
      </c>
      <c r="L12" s="18">
        <v>30</v>
      </c>
      <c r="M12" s="18">
        <v>31</v>
      </c>
      <c r="N12" s="18">
        <v>28</v>
      </c>
      <c r="O12" s="18">
        <v>31</v>
      </c>
      <c r="P12" s="18">
        <v>30</v>
      </c>
      <c r="Q12" s="18">
        <v>31</v>
      </c>
      <c r="R12" s="18">
        <v>30</v>
      </c>
      <c r="S12" s="18">
        <v>31</v>
      </c>
      <c r="T12" s="18">
        <v>31</v>
      </c>
      <c r="U12" s="18">
        <v>30</v>
      </c>
      <c r="V12" s="18">
        <v>31</v>
      </c>
      <c r="W12" s="18">
        <v>30</v>
      </c>
      <c r="X12" s="18">
        <v>31</v>
      </c>
      <c r="Y12" s="18"/>
      <c r="Z12" s="18"/>
      <c r="AA12" s="18"/>
    </row>
    <row r="13" spans="1:27" s="31" customFormat="1" x14ac:dyDescent="0.25">
      <c r="A13" s="32" t="s">
        <v>4</v>
      </c>
      <c r="B13" s="8">
        <v>41182</v>
      </c>
      <c r="C13" s="8">
        <v>41032</v>
      </c>
      <c r="D13" s="8">
        <v>41032</v>
      </c>
      <c r="E13" s="8">
        <v>40983</v>
      </c>
      <c r="F13" s="8">
        <v>41014</v>
      </c>
      <c r="G13" s="8">
        <v>41041</v>
      </c>
      <c r="H13" s="8">
        <v>41030</v>
      </c>
      <c r="I13" s="8">
        <v>41014</v>
      </c>
      <c r="J13" s="8">
        <v>41034</v>
      </c>
      <c r="K13" s="8">
        <v>41000</v>
      </c>
      <c r="L13" s="8">
        <v>41275</v>
      </c>
      <c r="M13" s="8">
        <v>40575</v>
      </c>
      <c r="N13" s="8">
        <v>40603</v>
      </c>
      <c r="O13" s="8">
        <v>40634</v>
      </c>
      <c r="P13" s="8">
        <v>40664</v>
      </c>
      <c r="Q13" s="8">
        <v>40695</v>
      </c>
      <c r="R13" s="8">
        <v>40725</v>
      </c>
      <c r="S13" s="8">
        <v>40756</v>
      </c>
      <c r="T13" s="8">
        <v>40787</v>
      </c>
      <c r="U13" s="8">
        <v>40817</v>
      </c>
      <c r="V13" s="8">
        <v>40848</v>
      </c>
      <c r="W13" s="8">
        <v>40878</v>
      </c>
      <c r="X13" s="8">
        <v>40909</v>
      </c>
      <c r="Y13" s="8"/>
      <c r="Z13" s="8"/>
      <c r="AA13" s="8"/>
    </row>
    <row r="14" spans="1:27" s="31" customFormat="1" x14ac:dyDescent="0.25">
      <c r="A14" s="32" t="s">
        <v>32</v>
      </c>
      <c r="B14" s="10">
        <v>300</v>
      </c>
      <c r="C14" s="10">
        <v>2070000</v>
      </c>
      <c r="D14" s="10">
        <v>2070000</v>
      </c>
      <c r="E14" s="10">
        <v>2790000</v>
      </c>
      <c r="F14" s="10">
        <v>1850000</v>
      </c>
      <c r="G14" s="10">
        <v>3730000</v>
      </c>
      <c r="H14" s="10">
        <v>3730000</v>
      </c>
      <c r="I14" s="10">
        <v>77800</v>
      </c>
      <c r="J14" s="10">
        <v>20000</v>
      </c>
      <c r="K14" s="10">
        <v>3730000</v>
      </c>
      <c r="L14" s="10">
        <v>1850000</v>
      </c>
      <c r="M14" s="10">
        <v>2070000</v>
      </c>
      <c r="N14" s="10">
        <v>2070000</v>
      </c>
      <c r="O14" s="10">
        <v>2070000</v>
      </c>
      <c r="P14" s="10">
        <v>2070000</v>
      </c>
      <c r="Q14" s="10">
        <v>2070000</v>
      </c>
      <c r="R14" s="10">
        <v>2070000</v>
      </c>
      <c r="S14" s="10">
        <v>2070000</v>
      </c>
      <c r="T14" s="10">
        <v>2070000</v>
      </c>
      <c r="U14" s="10">
        <v>2070000</v>
      </c>
      <c r="V14" s="10">
        <v>2070000</v>
      </c>
      <c r="W14" s="10">
        <v>2070000</v>
      </c>
      <c r="X14" s="10">
        <v>2070000</v>
      </c>
      <c r="Y14" s="10"/>
      <c r="Z14" s="10"/>
      <c r="AA14" s="10"/>
    </row>
    <row r="15" spans="1:27" s="31" customFormat="1" x14ac:dyDescent="0.25">
      <c r="A15" s="54" t="s">
        <v>90</v>
      </c>
      <c r="B15" s="61">
        <f>0.18</f>
        <v>0.18</v>
      </c>
      <c r="C15" s="61">
        <v>3.0000000000000001E-5</v>
      </c>
      <c r="D15" s="61">
        <v>3.0000000000000001E-5</v>
      </c>
      <c r="E15" s="61">
        <v>3.0000000000000001E-5</v>
      </c>
      <c r="F15" s="61">
        <v>2.3E-5</v>
      </c>
      <c r="G15" s="61">
        <v>3.0000000000000001E-5</v>
      </c>
      <c r="H15" s="61">
        <v>3.0000000000000001E-5</v>
      </c>
      <c r="I15" s="61">
        <v>8.0000000000000004E-4</v>
      </c>
      <c r="J15" s="61">
        <v>5.1900000000000003E-6</v>
      </c>
      <c r="K15" s="61">
        <v>3.0000000000000001E-5</v>
      </c>
      <c r="L15" s="61">
        <v>2.3E-5</v>
      </c>
      <c r="M15" s="61">
        <v>3.0000000000000001E-5</v>
      </c>
      <c r="N15" s="61">
        <v>3.0000000000000001E-5</v>
      </c>
      <c r="O15" s="61">
        <v>3.0000000000000001E-5</v>
      </c>
      <c r="P15" s="61">
        <v>3.0000000000000001E-5</v>
      </c>
      <c r="Q15" s="61">
        <v>3.0000000000000001E-5</v>
      </c>
      <c r="R15" s="61">
        <v>3.0000000000000001E-5</v>
      </c>
      <c r="S15" s="61">
        <v>3.0000000000000001E-5</v>
      </c>
      <c r="T15" s="61">
        <v>3.0000000000000001E-5</v>
      </c>
      <c r="U15" s="61">
        <v>3.0000000000000001E-5</v>
      </c>
      <c r="V15" s="61">
        <v>3.0000000000000001E-5</v>
      </c>
      <c r="W15" s="61">
        <v>3.0000000000000001E-5</v>
      </c>
      <c r="X15" s="61">
        <v>3.0000000000000001E-5</v>
      </c>
      <c r="Y15" s="61"/>
      <c r="Z15" s="61"/>
      <c r="AA15" s="61"/>
    </row>
    <row r="16" spans="1:27" s="31" customFormat="1" x14ac:dyDescent="0.25">
      <c r="A16" s="32" t="s">
        <v>24</v>
      </c>
      <c r="B16" s="11">
        <v>0</v>
      </c>
      <c r="C16" s="11">
        <v>13.46</v>
      </c>
      <c r="D16" s="11">
        <v>13.46</v>
      </c>
      <c r="E16" s="11">
        <v>13.46</v>
      </c>
      <c r="F16" s="11">
        <v>45.25</v>
      </c>
      <c r="G16" s="11">
        <v>13.46</v>
      </c>
      <c r="H16" s="11">
        <v>13.46</v>
      </c>
      <c r="I16" s="11">
        <v>8.0399999999999991</v>
      </c>
      <c r="J16" s="11">
        <v>18.5</v>
      </c>
      <c r="K16" s="11">
        <v>13.46</v>
      </c>
      <c r="L16" s="11">
        <v>45.25</v>
      </c>
      <c r="M16" s="11">
        <v>13.46</v>
      </c>
      <c r="N16" s="11">
        <v>13.46</v>
      </c>
      <c r="O16" s="11">
        <v>13.46</v>
      </c>
      <c r="P16" s="11">
        <v>13.46</v>
      </c>
      <c r="Q16" s="11">
        <v>13.46</v>
      </c>
      <c r="R16" s="11">
        <v>13.46</v>
      </c>
      <c r="S16" s="11">
        <v>13.46</v>
      </c>
      <c r="T16" s="11">
        <v>13.46</v>
      </c>
      <c r="U16" s="11">
        <v>13.46</v>
      </c>
      <c r="V16" s="11">
        <v>13.46</v>
      </c>
      <c r="W16" s="11">
        <v>13.46</v>
      </c>
      <c r="X16" s="11">
        <v>13.46</v>
      </c>
      <c r="Y16" s="11"/>
      <c r="Z16" s="11"/>
      <c r="AA16" s="11"/>
    </row>
    <row r="17" spans="1:27" s="31" customFormat="1" x14ac:dyDescent="0.25">
      <c r="A17" s="32" t="s">
        <v>21</v>
      </c>
      <c r="B17" s="11" t="s">
        <v>86</v>
      </c>
      <c r="C17" s="11" t="s">
        <v>84</v>
      </c>
      <c r="D17" s="11" t="s">
        <v>84</v>
      </c>
      <c r="E17" s="11" t="s">
        <v>85</v>
      </c>
      <c r="F17" s="11" t="s">
        <v>86</v>
      </c>
      <c r="G17" s="11" t="s">
        <v>84</v>
      </c>
      <c r="H17" s="11" t="s">
        <v>84</v>
      </c>
      <c r="I17" s="11" t="s">
        <v>87</v>
      </c>
      <c r="J17" s="11" t="s">
        <v>84</v>
      </c>
      <c r="K17" s="11" t="s">
        <v>84</v>
      </c>
      <c r="L17" s="11" t="s">
        <v>86</v>
      </c>
      <c r="M17" s="11" t="s">
        <v>84</v>
      </c>
      <c r="N17" s="11" t="s">
        <v>84</v>
      </c>
      <c r="O17" s="11" t="s">
        <v>84</v>
      </c>
      <c r="P17" s="11" t="s">
        <v>84</v>
      </c>
      <c r="Q17" s="11" t="s">
        <v>84</v>
      </c>
      <c r="R17" s="11" t="s">
        <v>84</v>
      </c>
      <c r="S17" s="11" t="s">
        <v>84</v>
      </c>
      <c r="T17" s="11" t="s">
        <v>84</v>
      </c>
      <c r="U17" s="11" t="s">
        <v>84</v>
      </c>
      <c r="V17" s="11" t="s">
        <v>84</v>
      </c>
      <c r="W17" s="11" t="s">
        <v>84</v>
      </c>
      <c r="X17" s="11" t="s">
        <v>84</v>
      </c>
      <c r="Y17" s="11"/>
      <c r="Z17" s="11"/>
      <c r="AA17" s="11"/>
    </row>
    <row r="18" spans="1:27" s="31" customFormat="1" x14ac:dyDescent="0.25">
      <c r="A18" s="32" t="s">
        <v>41</v>
      </c>
      <c r="B18" s="11" t="s">
        <v>141</v>
      </c>
      <c r="C18" s="11" t="s">
        <v>141</v>
      </c>
      <c r="D18" s="11" t="s">
        <v>141</v>
      </c>
      <c r="E18" s="11" t="s">
        <v>141</v>
      </c>
      <c r="F18" s="11" t="s">
        <v>141</v>
      </c>
      <c r="G18" s="11" t="s">
        <v>141</v>
      </c>
      <c r="H18" s="11" t="s">
        <v>141</v>
      </c>
      <c r="I18" s="11" t="s">
        <v>141</v>
      </c>
      <c r="J18" s="11" t="s">
        <v>141</v>
      </c>
      <c r="K18" s="11" t="s">
        <v>141</v>
      </c>
      <c r="L18" s="11" t="s">
        <v>141</v>
      </c>
      <c r="M18" s="11" t="s">
        <v>141</v>
      </c>
      <c r="N18" s="11" t="s">
        <v>141</v>
      </c>
      <c r="O18" s="11" t="s">
        <v>141</v>
      </c>
      <c r="P18" s="11" t="s">
        <v>141</v>
      </c>
      <c r="Q18" s="11" t="s">
        <v>141</v>
      </c>
      <c r="R18" s="11" t="s">
        <v>141</v>
      </c>
      <c r="S18" s="11" t="s">
        <v>141</v>
      </c>
      <c r="T18" s="11" t="s">
        <v>141</v>
      </c>
      <c r="U18" s="11" t="s">
        <v>141</v>
      </c>
      <c r="V18" s="11" t="s">
        <v>141</v>
      </c>
      <c r="W18" s="11" t="s">
        <v>141</v>
      </c>
      <c r="X18" s="11" t="s">
        <v>141</v>
      </c>
      <c r="Y18" s="11"/>
      <c r="Z18" s="11"/>
      <c r="AA18" s="11"/>
    </row>
    <row r="19" spans="1:27" s="31" customFormat="1" x14ac:dyDescent="0.25">
      <c r="A19" s="65" t="s">
        <v>146</v>
      </c>
      <c r="B19" s="11" t="s">
        <v>135</v>
      </c>
      <c r="C19" s="11" t="s">
        <v>135</v>
      </c>
      <c r="D19" s="11" t="s">
        <v>135</v>
      </c>
      <c r="E19" s="11" t="s">
        <v>135</v>
      </c>
      <c r="F19" s="11" t="s">
        <v>135</v>
      </c>
      <c r="G19" s="11" t="s">
        <v>135</v>
      </c>
      <c r="H19" s="11" t="s">
        <v>135</v>
      </c>
      <c r="I19" s="11" t="s">
        <v>135</v>
      </c>
      <c r="J19" s="11" t="s">
        <v>135</v>
      </c>
      <c r="K19" s="11" t="s">
        <v>135</v>
      </c>
      <c r="L19" s="11" t="s">
        <v>135</v>
      </c>
      <c r="M19" s="11" t="s">
        <v>135</v>
      </c>
      <c r="N19" s="11" t="s">
        <v>135</v>
      </c>
      <c r="O19" s="11" t="s">
        <v>135</v>
      </c>
      <c r="P19" s="11" t="s">
        <v>135</v>
      </c>
      <c r="Q19" s="11" t="s">
        <v>135</v>
      </c>
      <c r="R19" s="11" t="s">
        <v>135</v>
      </c>
      <c r="S19" s="11" t="s">
        <v>135</v>
      </c>
      <c r="T19" s="11" t="s">
        <v>135</v>
      </c>
      <c r="U19" s="11" t="s">
        <v>135</v>
      </c>
      <c r="V19" s="11" t="s">
        <v>135</v>
      </c>
      <c r="W19" s="11" t="s">
        <v>135</v>
      </c>
      <c r="X19" s="11" t="s">
        <v>135</v>
      </c>
      <c r="Y19" s="11"/>
      <c r="Z19" s="11"/>
      <c r="AA19" s="11"/>
    </row>
    <row r="20" spans="1:27" s="51" customFormat="1" ht="18.75" x14ac:dyDescent="0.3">
      <c r="A20" s="52" t="s">
        <v>40</v>
      </c>
    </row>
    <row r="21" spans="1:27" s="51" customFormat="1" x14ac:dyDescent="0.25">
      <c r="A21" s="23" t="s">
        <v>91</v>
      </c>
      <c r="B21" s="51" t="s">
        <v>152</v>
      </c>
      <c r="C21" s="51" t="s">
        <v>92</v>
      </c>
      <c r="D21" s="51" t="s">
        <v>92</v>
      </c>
      <c r="E21" s="51" t="s">
        <v>93</v>
      </c>
      <c r="F21" s="51" t="s">
        <v>94</v>
      </c>
      <c r="G21" s="51" t="s">
        <v>95</v>
      </c>
      <c r="H21" s="51" t="s">
        <v>92</v>
      </c>
      <c r="I21" s="51" t="s">
        <v>96</v>
      </c>
      <c r="J21" s="51" t="s">
        <v>97</v>
      </c>
      <c r="K21" s="51" t="s">
        <v>92</v>
      </c>
      <c r="L21" s="51" t="s">
        <v>94</v>
      </c>
      <c r="M21" s="51" t="s">
        <v>92</v>
      </c>
      <c r="N21" s="51" t="s">
        <v>92</v>
      </c>
      <c r="O21" s="51" t="s">
        <v>92</v>
      </c>
      <c r="P21" s="51" t="s">
        <v>92</v>
      </c>
      <c r="Q21" s="51" t="s">
        <v>92</v>
      </c>
      <c r="R21" s="51" t="s">
        <v>92</v>
      </c>
      <c r="S21" s="51" t="s">
        <v>92</v>
      </c>
      <c r="T21" s="51" t="s">
        <v>92</v>
      </c>
      <c r="U21" s="51" t="s">
        <v>92</v>
      </c>
      <c r="V21" s="51" t="s">
        <v>92</v>
      </c>
      <c r="W21" s="51" t="s">
        <v>92</v>
      </c>
      <c r="X21" s="51" t="s">
        <v>92</v>
      </c>
      <c r="Y21" s="51" t="s">
        <v>92</v>
      </c>
      <c r="Z21" s="51" t="s">
        <v>92</v>
      </c>
      <c r="AA21" s="51" t="s">
        <v>92</v>
      </c>
    </row>
    <row r="22" spans="1:27" s="31" customFormat="1" x14ac:dyDescent="0.25">
      <c r="A22" s="23" t="s">
        <v>68</v>
      </c>
      <c r="B22" s="12" t="s">
        <v>69</v>
      </c>
      <c r="C22" s="12" t="s">
        <v>69</v>
      </c>
      <c r="D22" s="12" t="s">
        <v>69</v>
      </c>
      <c r="E22" s="12" t="s">
        <v>69</v>
      </c>
      <c r="F22" s="12" t="s">
        <v>69</v>
      </c>
      <c r="G22" s="12" t="s">
        <v>69</v>
      </c>
      <c r="H22" s="12" t="s">
        <v>69</v>
      </c>
      <c r="I22" s="12" t="s">
        <v>69</v>
      </c>
      <c r="J22" s="12" t="s">
        <v>69</v>
      </c>
      <c r="K22" s="12" t="s">
        <v>69</v>
      </c>
      <c r="L22" s="12" t="s">
        <v>69</v>
      </c>
      <c r="M22" s="12" t="s">
        <v>69</v>
      </c>
      <c r="N22" s="12" t="s">
        <v>69</v>
      </c>
      <c r="O22" s="12" t="s">
        <v>69</v>
      </c>
      <c r="P22" s="12" t="s">
        <v>69</v>
      </c>
      <c r="Q22" s="12" t="s">
        <v>69</v>
      </c>
      <c r="R22" s="12" t="s">
        <v>69</v>
      </c>
      <c r="S22" s="12" t="s">
        <v>69</v>
      </c>
      <c r="T22" s="12" t="s">
        <v>69</v>
      </c>
      <c r="U22" s="12" t="s">
        <v>69</v>
      </c>
      <c r="V22" s="12" t="s">
        <v>69</v>
      </c>
      <c r="W22" s="12" t="s">
        <v>69</v>
      </c>
      <c r="X22" s="12" t="s">
        <v>69</v>
      </c>
      <c r="Y22" s="12" t="s">
        <v>69</v>
      </c>
      <c r="Z22" s="12" t="s">
        <v>69</v>
      </c>
      <c r="AA22" s="12" t="s">
        <v>69</v>
      </c>
    </row>
    <row r="23" spans="1:27" s="31" customFormat="1" x14ac:dyDescent="0.25">
      <c r="A23" s="23" t="s">
        <v>51</v>
      </c>
      <c r="B23" s="12">
        <v>-18000</v>
      </c>
      <c r="C23" s="12">
        <v>-18000</v>
      </c>
      <c r="D23" s="12">
        <v>-18000</v>
      </c>
      <c r="E23" s="12">
        <v>-18000</v>
      </c>
      <c r="F23" s="12">
        <v>-18000</v>
      </c>
      <c r="G23" s="12">
        <v>-18000</v>
      </c>
      <c r="H23" s="12">
        <v>-18000</v>
      </c>
      <c r="I23" s="12">
        <v>-18000</v>
      </c>
      <c r="J23" s="12">
        <v>-18000</v>
      </c>
      <c r="K23" s="12">
        <v>-18000</v>
      </c>
      <c r="L23" s="12">
        <v>-18000</v>
      </c>
      <c r="M23" s="12">
        <v>-18000</v>
      </c>
      <c r="N23" s="12">
        <v>-18000</v>
      </c>
      <c r="O23" s="12">
        <v>-18000</v>
      </c>
      <c r="P23" s="12">
        <v>-18000</v>
      </c>
      <c r="Q23" s="12">
        <v>-18000</v>
      </c>
      <c r="R23" s="12">
        <v>-18000</v>
      </c>
      <c r="S23" s="12">
        <v>-18000</v>
      </c>
      <c r="T23" s="12">
        <v>-18000</v>
      </c>
      <c r="U23" s="12">
        <v>-18000</v>
      </c>
      <c r="V23" s="12">
        <v>-18000</v>
      </c>
      <c r="W23" s="12">
        <v>-18000</v>
      </c>
      <c r="X23" s="12">
        <v>-18000</v>
      </c>
      <c r="Y23" s="12">
        <f>3600*(-8)</f>
        <v>-28800</v>
      </c>
      <c r="Z23" s="12">
        <f>3600*(-8)</f>
        <v>-28800</v>
      </c>
      <c r="AA23" s="12">
        <f>3600*(-8)</f>
        <v>-28800</v>
      </c>
    </row>
    <row r="24" spans="1:27" s="31" customFormat="1" x14ac:dyDescent="0.25">
      <c r="A24" s="23" t="s">
        <v>75</v>
      </c>
      <c r="B24" s="12">
        <v>3600</v>
      </c>
      <c r="C24" s="12">
        <v>3600</v>
      </c>
      <c r="D24" s="12">
        <v>3600</v>
      </c>
      <c r="E24" s="12">
        <v>3600</v>
      </c>
      <c r="F24" s="12">
        <v>3600</v>
      </c>
      <c r="G24" s="12">
        <v>3600</v>
      </c>
      <c r="H24" s="12">
        <v>3600</v>
      </c>
      <c r="I24" s="12">
        <v>3600</v>
      </c>
      <c r="J24" s="12">
        <v>3600</v>
      </c>
      <c r="K24" s="12">
        <v>3600</v>
      </c>
      <c r="L24" s="12">
        <v>3600</v>
      </c>
      <c r="M24" s="12">
        <v>3600</v>
      </c>
      <c r="N24" s="12">
        <v>3600</v>
      </c>
      <c r="O24" s="12">
        <v>3600</v>
      </c>
      <c r="P24" s="12">
        <v>3600</v>
      </c>
      <c r="Q24" s="12">
        <v>3600</v>
      </c>
      <c r="R24" s="12">
        <v>3600</v>
      </c>
      <c r="S24" s="12">
        <v>3600</v>
      </c>
      <c r="T24" s="12">
        <v>3600</v>
      </c>
      <c r="U24" s="12">
        <v>3600</v>
      </c>
      <c r="V24" s="12">
        <v>3600</v>
      </c>
      <c r="W24" s="12">
        <v>3600</v>
      </c>
      <c r="X24" s="12">
        <v>3600</v>
      </c>
      <c r="Y24" s="12">
        <v>3600</v>
      </c>
      <c r="Z24" s="12">
        <v>3600</v>
      </c>
      <c r="AA24" s="12">
        <v>3600</v>
      </c>
    </row>
    <row r="25" spans="1:27" s="31" customFormat="1" x14ac:dyDescent="0.25">
      <c r="A25" s="23" t="s">
        <v>66</v>
      </c>
      <c r="B25" s="47" t="s">
        <v>65</v>
      </c>
      <c r="C25" s="47" t="s">
        <v>65</v>
      </c>
      <c r="D25" s="47" t="s">
        <v>65</v>
      </c>
      <c r="E25" s="47" t="s">
        <v>65</v>
      </c>
      <c r="F25" s="47" t="s">
        <v>65</v>
      </c>
      <c r="G25" s="47" t="s">
        <v>65</v>
      </c>
      <c r="H25" s="47" t="s">
        <v>65</v>
      </c>
      <c r="I25" s="47" t="s">
        <v>65</v>
      </c>
      <c r="J25" s="47" t="s">
        <v>65</v>
      </c>
      <c r="K25" s="47" t="s">
        <v>65</v>
      </c>
      <c r="L25" s="47" t="s">
        <v>65</v>
      </c>
      <c r="M25" s="47" t="s">
        <v>65</v>
      </c>
      <c r="N25" s="47" t="s">
        <v>65</v>
      </c>
      <c r="O25" s="47" t="s">
        <v>65</v>
      </c>
      <c r="P25" s="47" t="s">
        <v>65</v>
      </c>
      <c r="Q25" s="47" t="s">
        <v>65</v>
      </c>
      <c r="R25" s="47" t="s">
        <v>65</v>
      </c>
      <c r="S25" s="47" t="s">
        <v>65</v>
      </c>
      <c r="T25" s="47" t="s">
        <v>65</v>
      </c>
      <c r="U25" s="47" t="s">
        <v>65</v>
      </c>
      <c r="V25" s="47" t="s">
        <v>65</v>
      </c>
      <c r="W25" s="47" t="s">
        <v>65</v>
      </c>
      <c r="X25" s="47" t="s">
        <v>65</v>
      </c>
      <c r="Y25" s="47" t="s">
        <v>65</v>
      </c>
      <c r="Z25" s="47" t="s">
        <v>65</v>
      </c>
      <c r="AA25" s="47" t="s">
        <v>65</v>
      </c>
    </row>
    <row r="26" spans="1:27" s="31" customFormat="1" x14ac:dyDescent="0.25">
      <c r="A26" s="23" t="s">
        <v>67</v>
      </c>
      <c r="B26" s="47" t="s">
        <v>74</v>
      </c>
      <c r="C26" s="47" t="s">
        <v>74</v>
      </c>
      <c r="D26" s="47" t="s">
        <v>74</v>
      </c>
      <c r="E26" s="47" t="s">
        <v>74</v>
      </c>
      <c r="F26" s="47" t="s">
        <v>74</v>
      </c>
      <c r="G26" s="47" t="s">
        <v>74</v>
      </c>
      <c r="H26" s="47" t="s">
        <v>74</v>
      </c>
      <c r="I26" s="47" t="s">
        <v>74</v>
      </c>
      <c r="J26" s="47" t="s">
        <v>74</v>
      </c>
      <c r="K26" s="47" t="s">
        <v>74</v>
      </c>
      <c r="L26" s="47" t="s">
        <v>74</v>
      </c>
      <c r="M26" s="47" t="s">
        <v>74</v>
      </c>
      <c r="N26" s="47" t="s">
        <v>74</v>
      </c>
      <c r="O26" s="47" t="s">
        <v>74</v>
      </c>
      <c r="P26" s="47" t="s">
        <v>74</v>
      </c>
      <c r="Q26" s="47" t="s">
        <v>74</v>
      </c>
      <c r="R26" s="47" t="s">
        <v>74</v>
      </c>
      <c r="S26" s="47" t="s">
        <v>74</v>
      </c>
      <c r="T26" s="47" t="s">
        <v>74</v>
      </c>
      <c r="U26" s="47" t="s">
        <v>74</v>
      </c>
      <c r="V26" s="47" t="s">
        <v>74</v>
      </c>
      <c r="W26" s="47" t="s">
        <v>74</v>
      </c>
      <c r="X26" s="47" t="s">
        <v>74</v>
      </c>
      <c r="Y26" s="47" t="s">
        <v>74</v>
      </c>
      <c r="Z26" s="47" t="s">
        <v>74</v>
      </c>
      <c r="AA26" s="47" t="s">
        <v>74</v>
      </c>
    </row>
    <row r="27" spans="1:27" s="31" customFormat="1" x14ac:dyDescent="0.25">
      <c r="A27" s="23" t="s">
        <v>37</v>
      </c>
      <c r="B27" s="12">
        <v>1</v>
      </c>
      <c r="C27" s="12">
        <v>1</v>
      </c>
      <c r="D27" s="12">
        <v>1</v>
      </c>
      <c r="E27" s="12">
        <v>1</v>
      </c>
      <c r="F27" s="12">
        <v>1</v>
      </c>
      <c r="G27" s="12">
        <v>1</v>
      </c>
      <c r="H27" s="12">
        <v>1</v>
      </c>
      <c r="I27" s="12">
        <v>1</v>
      </c>
      <c r="J27" s="12">
        <v>1</v>
      </c>
      <c r="K27" s="12">
        <v>1</v>
      </c>
      <c r="L27" s="12">
        <v>1</v>
      </c>
      <c r="M27" s="12">
        <v>1</v>
      </c>
      <c r="N27" s="12">
        <v>1</v>
      </c>
      <c r="O27" s="12">
        <v>1</v>
      </c>
      <c r="P27" s="12">
        <v>1</v>
      </c>
      <c r="Q27" s="12">
        <v>1</v>
      </c>
      <c r="R27" s="12">
        <v>1</v>
      </c>
      <c r="S27" s="12">
        <v>1</v>
      </c>
      <c r="T27" s="12">
        <v>1</v>
      </c>
      <c r="U27" s="12">
        <v>1</v>
      </c>
      <c r="V27" s="12">
        <v>1</v>
      </c>
      <c r="W27" s="12">
        <v>1</v>
      </c>
      <c r="X27" s="12">
        <v>1</v>
      </c>
      <c r="Y27" s="12">
        <v>1</v>
      </c>
      <c r="Z27" s="12">
        <v>1</v>
      </c>
      <c r="AA27" s="12">
        <v>1</v>
      </c>
    </row>
    <row r="28" spans="1:27" s="31" customFormat="1" x14ac:dyDescent="0.25">
      <c r="A28" s="23" t="s">
        <v>162</v>
      </c>
      <c r="B28" s="48" t="s">
        <v>76</v>
      </c>
      <c r="C28" s="18">
        <v>3600</v>
      </c>
      <c r="D28" s="18">
        <v>3600</v>
      </c>
      <c r="E28" s="18">
        <v>900</v>
      </c>
      <c r="F28" s="48" t="s">
        <v>88</v>
      </c>
      <c r="G28" s="48" t="s">
        <v>76</v>
      </c>
      <c r="H28" s="18">
        <v>3600</v>
      </c>
      <c r="I28" s="48" t="s">
        <v>76</v>
      </c>
      <c r="J28" s="48" t="s">
        <v>76</v>
      </c>
      <c r="K28" s="48" t="s">
        <v>88</v>
      </c>
      <c r="L28" s="48" t="s">
        <v>88</v>
      </c>
      <c r="M28" s="18">
        <v>3600</v>
      </c>
      <c r="N28" s="18">
        <v>3600</v>
      </c>
      <c r="O28" s="18">
        <v>3600</v>
      </c>
      <c r="P28" s="18">
        <v>3600</v>
      </c>
      <c r="Q28" s="18">
        <v>3600</v>
      </c>
      <c r="R28" s="18">
        <v>3600</v>
      </c>
      <c r="S28" s="18">
        <v>3600</v>
      </c>
      <c r="T28" s="18">
        <v>3600</v>
      </c>
      <c r="U28" s="18">
        <v>3600</v>
      </c>
      <c r="V28" s="18">
        <v>3600</v>
      </c>
      <c r="W28" s="18">
        <v>3600</v>
      </c>
      <c r="X28" s="18">
        <v>3600</v>
      </c>
      <c r="Y28" s="18">
        <v>3600</v>
      </c>
      <c r="Z28" s="18">
        <v>3600</v>
      </c>
      <c r="AA28" s="18">
        <v>3600</v>
      </c>
    </row>
    <row r="29" spans="1:27" s="31" customFormat="1" x14ac:dyDescent="0.25">
      <c r="A29" s="23" t="s">
        <v>161</v>
      </c>
      <c r="B29" s="48" t="s">
        <v>76</v>
      </c>
      <c r="C29" s="48" t="s">
        <v>88</v>
      </c>
      <c r="D29" s="48" t="s">
        <v>88</v>
      </c>
      <c r="E29" s="48" t="s">
        <v>88</v>
      </c>
      <c r="F29" s="48" t="s">
        <v>88</v>
      </c>
      <c r="G29" s="48" t="s">
        <v>76</v>
      </c>
      <c r="H29" s="48" t="s">
        <v>88</v>
      </c>
      <c r="I29" s="48" t="s">
        <v>76</v>
      </c>
      <c r="J29" s="48" t="s">
        <v>76</v>
      </c>
      <c r="K29" s="48" t="s">
        <v>76</v>
      </c>
      <c r="L29" s="48" t="s">
        <v>88</v>
      </c>
      <c r="M29" s="48" t="s">
        <v>88</v>
      </c>
      <c r="N29" s="48" t="s">
        <v>88</v>
      </c>
      <c r="O29" s="48" t="s">
        <v>88</v>
      </c>
      <c r="P29" s="48" t="s">
        <v>88</v>
      </c>
      <c r="Q29" s="48" t="s">
        <v>88</v>
      </c>
      <c r="R29" s="48" t="s">
        <v>88</v>
      </c>
      <c r="S29" s="48" t="s">
        <v>88</v>
      </c>
      <c r="T29" s="48" t="s">
        <v>88</v>
      </c>
      <c r="U29" s="48" t="s">
        <v>88</v>
      </c>
      <c r="V29" s="48" t="s">
        <v>88</v>
      </c>
      <c r="W29" s="48" t="s">
        <v>88</v>
      </c>
      <c r="X29" s="48" t="s">
        <v>88</v>
      </c>
      <c r="Y29" s="48" t="s">
        <v>76</v>
      </c>
      <c r="Z29" s="48" t="s">
        <v>88</v>
      </c>
      <c r="AA29" s="48">
        <v>43200</v>
      </c>
    </row>
    <row r="30" spans="1:27" s="31" customFormat="1" x14ac:dyDescent="0.25">
      <c r="A30" s="23" t="s">
        <v>114</v>
      </c>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row>
    <row r="31" spans="1:27" s="31" customFormat="1" x14ac:dyDescent="0.25">
      <c r="A31" s="23" t="s">
        <v>115</v>
      </c>
      <c r="B31" s="12">
        <v>3</v>
      </c>
      <c r="C31" s="12">
        <v>0</v>
      </c>
      <c r="D31" s="12">
        <v>0</v>
      </c>
      <c r="E31" s="12">
        <v>0</v>
      </c>
      <c r="F31" s="12">
        <v>0</v>
      </c>
      <c r="G31" s="12">
        <v>0</v>
      </c>
      <c r="H31" s="12">
        <v>0</v>
      </c>
      <c r="I31" s="12">
        <v>-3</v>
      </c>
      <c r="J31" s="12">
        <v>3</v>
      </c>
      <c r="K31" s="12">
        <v>0</v>
      </c>
      <c r="L31" s="12">
        <v>0</v>
      </c>
      <c r="M31" s="12">
        <v>0</v>
      </c>
      <c r="N31" s="12">
        <v>0</v>
      </c>
      <c r="O31" s="12">
        <v>0</v>
      </c>
      <c r="P31" s="12">
        <v>0</v>
      </c>
      <c r="Q31" s="12">
        <v>0</v>
      </c>
      <c r="R31" s="12">
        <v>0</v>
      </c>
      <c r="S31" s="12">
        <v>0</v>
      </c>
      <c r="T31" s="12">
        <v>0</v>
      </c>
      <c r="U31" s="12">
        <v>0</v>
      </c>
      <c r="V31" s="12">
        <v>0</v>
      </c>
      <c r="W31" s="12">
        <v>0</v>
      </c>
      <c r="X31" s="12">
        <v>0</v>
      </c>
      <c r="Y31" s="12">
        <v>0</v>
      </c>
      <c r="Z31" s="12">
        <v>0</v>
      </c>
      <c r="AA31" s="12">
        <v>0</v>
      </c>
    </row>
    <row r="32" spans="1:27" s="31" customFormat="1" x14ac:dyDescent="0.25">
      <c r="A32" s="23" t="s">
        <v>116</v>
      </c>
      <c r="B32" s="13">
        <v>0</v>
      </c>
      <c r="C32" s="13">
        <v>0</v>
      </c>
      <c r="D32" s="13">
        <v>0</v>
      </c>
      <c r="E32" s="13">
        <v>0</v>
      </c>
      <c r="F32" s="13">
        <v>0</v>
      </c>
      <c r="G32" s="13">
        <v>0</v>
      </c>
      <c r="H32" s="13">
        <v>0</v>
      </c>
      <c r="I32" s="13">
        <v>1</v>
      </c>
      <c r="J32" s="13">
        <v>2</v>
      </c>
      <c r="K32" s="13">
        <v>0</v>
      </c>
      <c r="L32" s="13">
        <v>0</v>
      </c>
      <c r="M32" s="13">
        <v>0</v>
      </c>
      <c r="N32" s="13">
        <v>0</v>
      </c>
      <c r="O32" s="13">
        <v>0</v>
      </c>
      <c r="P32" s="13">
        <v>0</v>
      </c>
      <c r="Q32" s="13">
        <v>0</v>
      </c>
      <c r="R32" s="13">
        <v>0</v>
      </c>
      <c r="S32" s="13">
        <v>0</v>
      </c>
      <c r="T32" s="13">
        <v>0</v>
      </c>
      <c r="U32" s="13">
        <v>0</v>
      </c>
      <c r="V32" s="13">
        <v>0</v>
      </c>
      <c r="W32" s="13">
        <v>0</v>
      </c>
      <c r="X32" s="13">
        <v>0</v>
      </c>
      <c r="Y32" s="13">
        <v>0</v>
      </c>
      <c r="Z32" s="13">
        <v>0</v>
      </c>
      <c r="AA32" s="13">
        <v>0</v>
      </c>
    </row>
    <row r="33" spans="1:27" s="31" customFormat="1" x14ac:dyDescent="0.25">
      <c r="A33" s="23" t="s">
        <v>117</v>
      </c>
      <c r="B33" s="13">
        <v>72</v>
      </c>
      <c r="C33" s="13">
        <v>72</v>
      </c>
      <c r="D33" s="13">
        <v>72</v>
      </c>
      <c r="E33" s="13">
        <v>72</v>
      </c>
      <c r="F33" s="13">
        <v>72</v>
      </c>
      <c r="G33" s="13">
        <v>72</v>
      </c>
      <c r="H33" s="13">
        <v>72</v>
      </c>
      <c r="I33" s="13">
        <v>169</v>
      </c>
      <c r="J33" s="13">
        <v>128</v>
      </c>
      <c r="K33" s="13">
        <v>72</v>
      </c>
      <c r="L33" s="13">
        <v>72</v>
      </c>
      <c r="M33" s="13">
        <v>72</v>
      </c>
      <c r="N33" s="13">
        <v>72</v>
      </c>
      <c r="O33" s="13">
        <v>72</v>
      </c>
      <c r="P33" s="13">
        <v>72</v>
      </c>
      <c r="Q33" s="13">
        <v>72</v>
      </c>
      <c r="R33" s="13">
        <v>72</v>
      </c>
      <c r="S33" s="13">
        <v>72</v>
      </c>
      <c r="T33" s="13">
        <v>72</v>
      </c>
      <c r="U33" s="13">
        <v>72</v>
      </c>
      <c r="V33" s="13">
        <v>72</v>
      </c>
      <c r="W33" s="13">
        <v>72</v>
      </c>
      <c r="X33" s="13">
        <v>72</v>
      </c>
      <c r="Y33" s="59">
        <v>72</v>
      </c>
      <c r="Z33" s="59">
        <v>72</v>
      </c>
      <c r="AA33" s="59">
        <v>72</v>
      </c>
    </row>
    <row r="34" spans="1:27" s="31" customFormat="1" x14ac:dyDescent="0.25">
      <c r="A34" s="23" t="s">
        <v>118</v>
      </c>
      <c r="B34" s="13">
        <v>4</v>
      </c>
      <c r="C34" s="13">
        <v>4</v>
      </c>
      <c r="D34" s="13">
        <v>4</v>
      </c>
      <c r="E34" s="13">
        <v>4</v>
      </c>
      <c r="F34" s="13">
        <v>4</v>
      </c>
      <c r="G34" s="13">
        <v>4</v>
      </c>
      <c r="H34" s="13">
        <v>4</v>
      </c>
      <c r="I34" s="13">
        <v>4</v>
      </c>
      <c r="J34" s="13">
        <v>4</v>
      </c>
      <c r="K34" s="13">
        <v>4</v>
      </c>
      <c r="L34" s="13">
        <v>4</v>
      </c>
      <c r="M34" s="13">
        <v>4</v>
      </c>
      <c r="N34" s="13">
        <v>4</v>
      </c>
      <c r="O34" s="13">
        <v>4</v>
      </c>
      <c r="P34" s="13">
        <v>4</v>
      </c>
      <c r="Q34" s="13">
        <v>4</v>
      </c>
      <c r="R34" s="13">
        <v>4</v>
      </c>
      <c r="S34" s="13">
        <v>4</v>
      </c>
      <c r="T34" s="13">
        <v>4</v>
      </c>
      <c r="U34" s="13">
        <v>4</v>
      </c>
      <c r="V34" s="13">
        <v>4</v>
      </c>
      <c r="W34" s="13">
        <v>4</v>
      </c>
      <c r="X34" s="13">
        <v>4</v>
      </c>
      <c r="Y34" s="13">
        <v>4</v>
      </c>
      <c r="Z34" s="13">
        <v>4</v>
      </c>
      <c r="AA34" s="13">
        <v>4</v>
      </c>
    </row>
    <row r="35" spans="1:27" s="31" customFormat="1" x14ac:dyDescent="0.25">
      <c r="A35" s="23" t="s">
        <v>119</v>
      </c>
      <c r="B35" s="13">
        <v>1</v>
      </c>
      <c r="C35" s="13">
        <v>1</v>
      </c>
      <c r="D35" s="13">
        <v>1</v>
      </c>
      <c r="E35" s="13">
        <v>1</v>
      </c>
      <c r="F35" s="13">
        <v>1</v>
      </c>
      <c r="G35" s="13">
        <v>1</v>
      </c>
      <c r="H35" s="13">
        <v>1</v>
      </c>
      <c r="I35" s="13">
        <v>7</v>
      </c>
      <c r="J35" s="13">
        <v>9</v>
      </c>
      <c r="K35" s="13">
        <v>1</v>
      </c>
      <c r="L35" s="13">
        <v>1</v>
      </c>
      <c r="M35" s="13">
        <v>1</v>
      </c>
      <c r="N35" s="13">
        <v>1</v>
      </c>
      <c r="O35" s="13">
        <v>1</v>
      </c>
      <c r="P35" s="13">
        <v>1</v>
      </c>
      <c r="Q35" s="13">
        <v>1</v>
      </c>
      <c r="R35" s="13">
        <v>1</v>
      </c>
      <c r="S35" s="13">
        <v>1</v>
      </c>
      <c r="T35" s="13">
        <v>1</v>
      </c>
      <c r="U35" s="13">
        <v>1</v>
      </c>
      <c r="V35" s="13">
        <v>1</v>
      </c>
      <c r="W35" s="13">
        <v>1</v>
      </c>
      <c r="X35" s="13">
        <v>1</v>
      </c>
      <c r="Y35" s="13">
        <v>1</v>
      </c>
      <c r="Z35" s="13">
        <v>1</v>
      </c>
      <c r="AA35" s="13">
        <v>1</v>
      </c>
    </row>
    <row r="36" spans="1:27" s="31" customFormat="1" x14ac:dyDescent="0.25">
      <c r="A36" s="23" t="s">
        <v>120</v>
      </c>
      <c r="B36" s="13">
        <v>12</v>
      </c>
      <c r="C36" s="13">
        <v>12</v>
      </c>
      <c r="D36" s="13">
        <v>12</v>
      </c>
      <c r="E36" s="13">
        <v>12</v>
      </c>
      <c r="F36" s="13">
        <v>12</v>
      </c>
      <c r="G36" s="13">
        <v>12</v>
      </c>
      <c r="H36" s="13">
        <v>12</v>
      </c>
      <c r="I36" s="13">
        <v>12</v>
      </c>
      <c r="J36" s="13">
        <v>12</v>
      </c>
      <c r="K36" s="13">
        <v>12</v>
      </c>
      <c r="L36" s="13">
        <v>12</v>
      </c>
      <c r="M36" s="13">
        <v>12</v>
      </c>
      <c r="N36" s="13">
        <v>12</v>
      </c>
      <c r="O36" s="13">
        <v>12</v>
      </c>
      <c r="P36" s="13">
        <v>12</v>
      </c>
      <c r="Q36" s="13">
        <v>12</v>
      </c>
      <c r="R36" s="13">
        <v>12</v>
      </c>
      <c r="S36" s="13">
        <v>12</v>
      </c>
      <c r="T36" s="13">
        <v>12</v>
      </c>
      <c r="U36" s="13">
        <v>12</v>
      </c>
      <c r="V36" s="13">
        <v>12</v>
      </c>
      <c r="W36" s="13">
        <v>12</v>
      </c>
      <c r="X36" s="13">
        <v>12</v>
      </c>
      <c r="Y36" s="13">
        <v>12</v>
      </c>
      <c r="Z36" s="13">
        <v>12</v>
      </c>
      <c r="AA36" s="13">
        <v>12</v>
      </c>
    </row>
    <row r="37" spans="1:27" s="31" customFormat="1" x14ac:dyDescent="0.25">
      <c r="A37" s="23" t="s">
        <v>121</v>
      </c>
      <c r="B37" s="13">
        <v>1</v>
      </c>
      <c r="C37" s="13">
        <v>1</v>
      </c>
      <c r="D37" s="13">
        <v>1</v>
      </c>
      <c r="E37" s="13">
        <v>1</v>
      </c>
      <c r="F37" s="13">
        <v>1</v>
      </c>
      <c r="G37" s="13">
        <v>1</v>
      </c>
      <c r="H37" s="13">
        <v>1</v>
      </c>
      <c r="I37" s="13">
        <v>1</v>
      </c>
      <c r="J37" s="13">
        <v>1</v>
      </c>
      <c r="K37" s="13">
        <v>1</v>
      </c>
      <c r="L37" s="13">
        <v>1</v>
      </c>
      <c r="M37" s="13">
        <v>1</v>
      </c>
      <c r="N37" s="13">
        <v>1</v>
      </c>
      <c r="O37" s="13">
        <v>1</v>
      </c>
      <c r="P37" s="13">
        <v>1</v>
      </c>
      <c r="Q37" s="13">
        <v>1</v>
      </c>
      <c r="R37" s="13">
        <v>1</v>
      </c>
      <c r="S37" s="13">
        <v>1</v>
      </c>
      <c r="T37" s="13">
        <v>1</v>
      </c>
      <c r="U37" s="13">
        <v>1</v>
      </c>
      <c r="V37" s="13">
        <v>1</v>
      </c>
      <c r="W37" s="13">
        <v>1</v>
      </c>
      <c r="X37" s="13">
        <v>1</v>
      </c>
      <c r="Y37" s="13">
        <v>1</v>
      </c>
      <c r="Z37" s="13">
        <v>1</v>
      </c>
      <c r="AA37" s="13">
        <v>1</v>
      </c>
    </row>
    <row r="38" spans="1:27" s="31" customFormat="1" x14ac:dyDescent="0.25">
      <c r="A38" s="23" t="s">
        <v>122</v>
      </c>
      <c r="B38" s="13">
        <v>12</v>
      </c>
      <c r="C38" s="13">
        <v>12</v>
      </c>
      <c r="D38" s="13">
        <v>12</v>
      </c>
      <c r="E38" s="13">
        <v>12</v>
      </c>
      <c r="F38" s="13">
        <v>12</v>
      </c>
      <c r="G38" s="13">
        <v>12</v>
      </c>
      <c r="H38" s="13">
        <v>12</v>
      </c>
      <c r="I38" s="13">
        <v>12</v>
      </c>
      <c r="J38" s="13">
        <v>12</v>
      </c>
      <c r="K38" s="13">
        <v>12</v>
      </c>
      <c r="L38" s="13">
        <v>12</v>
      </c>
      <c r="M38" s="13">
        <v>12</v>
      </c>
      <c r="N38" s="13">
        <v>12</v>
      </c>
      <c r="O38" s="13">
        <v>12</v>
      </c>
      <c r="P38" s="13">
        <v>12</v>
      </c>
      <c r="Q38" s="13">
        <v>12</v>
      </c>
      <c r="R38" s="13">
        <v>12</v>
      </c>
      <c r="S38" s="13">
        <v>12</v>
      </c>
      <c r="T38" s="13">
        <v>12</v>
      </c>
      <c r="U38" s="13">
        <v>12</v>
      </c>
      <c r="V38" s="13">
        <v>12</v>
      </c>
      <c r="W38" s="13">
        <v>12</v>
      </c>
      <c r="X38" s="13">
        <v>12</v>
      </c>
      <c r="Y38" s="13">
        <v>12</v>
      </c>
      <c r="Z38" s="13">
        <v>12</v>
      </c>
      <c r="AA38" s="13">
        <v>12</v>
      </c>
    </row>
    <row r="39" spans="1:27" s="31" customFormat="1" x14ac:dyDescent="0.25">
      <c r="A39" s="23" t="s">
        <v>123</v>
      </c>
      <c r="B39" s="13">
        <v>0</v>
      </c>
      <c r="C39" s="13">
        <v>0</v>
      </c>
      <c r="D39" s="13">
        <v>0</v>
      </c>
      <c r="E39" s="13">
        <v>0</v>
      </c>
      <c r="F39" s="13">
        <v>0</v>
      </c>
      <c r="G39" s="13">
        <v>0</v>
      </c>
      <c r="H39" s="13">
        <v>0</v>
      </c>
      <c r="I39" s="13">
        <v>0</v>
      </c>
      <c r="J39" s="13">
        <v>0</v>
      </c>
      <c r="K39" s="13">
        <v>0</v>
      </c>
      <c r="L39" s="13">
        <v>0</v>
      </c>
      <c r="M39" s="13">
        <v>0</v>
      </c>
      <c r="N39" s="13">
        <v>0</v>
      </c>
      <c r="O39" s="13">
        <v>0</v>
      </c>
      <c r="P39" s="13">
        <v>0</v>
      </c>
      <c r="Q39" s="13">
        <v>0</v>
      </c>
      <c r="R39" s="13">
        <v>0</v>
      </c>
      <c r="S39" s="13">
        <v>0</v>
      </c>
      <c r="T39" s="13">
        <v>0</v>
      </c>
      <c r="U39" s="13">
        <v>0</v>
      </c>
      <c r="V39" s="13">
        <v>0</v>
      </c>
      <c r="W39" s="13">
        <v>0</v>
      </c>
      <c r="X39" s="13">
        <v>0</v>
      </c>
      <c r="Y39" s="13">
        <v>0</v>
      </c>
      <c r="Z39" s="13">
        <v>0</v>
      </c>
      <c r="AA39" s="13">
        <v>0</v>
      </c>
    </row>
    <row r="40" spans="1:27" s="31" customFormat="1" x14ac:dyDescent="0.25">
      <c r="A40" s="23" t="s">
        <v>124</v>
      </c>
      <c r="B40" s="13">
        <v>769</v>
      </c>
      <c r="C40" s="13">
        <v>769</v>
      </c>
      <c r="D40" s="13">
        <v>769</v>
      </c>
      <c r="E40" s="13">
        <v>769</v>
      </c>
      <c r="F40" s="13">
        <v>769</v>
      </c>
      <c r="G40" s="13">
        <v>769</v>
      </c>
      <c r="H40" s="13">
        <v>769</v>
      </c>
      <c r="I40" s="13">
        <v>0</v>
      </c>
      <c r="J40" s="13">
        <v>0</v>
      </c>
      <c r="K40" s="13">
        <v>769</v>
      </c>
      <c r="L40" s="13">
        <v>769</v>
      </c>
      <c r="M40" s="13">
        <v>769</v>
      </c>
      <c r="N40" s="13">
        <v>769</v>
      </c>
      <c r="O40" s="13">
        <v>769</v>
      </c>
      <c r="P40" s="13">
        <v>769</v>
      </c>
      <c r="Q40" s="13">
        <v>769</v>
      </c>
      <c r="R40" s="13">
        <v>769</v>
      </c>
      <c r="S40" s="13">
        <v>769</v>
      </c>
      <c r="T40" s="13">
        <v>769</v>
      </c>
      <c r="U40" s="13">
        <v>769</v>
      </c>
      <c r="V40" s="13">
        <v>769</v>
      </c>
      <c r="W40" s="13">
        <v>769</v>
      </c>
      <c r="X40" s="13">
        <v>769</v>
      </c>
      <c r="Y40" s="13">
        <v>769</v>
      </c>
      <c r="Z40" s="13">
        <v>769</v>
      </c>
      <c r="AA40" s="13">
        <v>769</v>
      </c>
    </row>
    <row r="41" spans="1:27" s="31" customFormat="1" x14ac:dyDescent="0.25">
      <c r="A41" s="23" t="s">
        <v>29</v>
      </c>
      <c r="B41" s="14" t="s">
        <v>30</v>
      </c>
      <c r="C41" s="14" t="s">
        <v>30</v>
      </c>
      <c r="D41" s="14" t="s">
        <v>30</v>
      </c>
      <c r="E41" s="14" t="s">
        <v>30</v>
      </c>
      <c r="F41" s="14" t="s">
        <v>30</v>
      </c>
      <c r="G41" s="14" t="s">
        <v>30</v>
      </c>
      <c r="H41" s="14" t="s">
        <v>30</v>
      </c>
      <c r="I41" s="14" t="s">
        <v>30</v>
      </c>
      <c r="J41" s="14" t="s">
        <v>158</v>
      </c>
      <c r="K41" s="14" t="s">
        <v>30</v>
      </c>
      <c r="L41" s="14" t="s">
        <v>30</v>
      </c>
      <c r="M41" s="14" t="s">
        <v>30</v>
      </c>
      <c r="N41" s="14" t="s">
        <v>30</v>
      </c>
      <c r="O41" s="14" t="s">
        <v>30</v>
      </c>
      <c r="P41" s="14" t="s">
        <v>30</v>
      </c>
      <c r="Q41" s="14" t="s">
        <v>30</v>
      </c>
      <c r="R41" s="14" t="s">
        <v>30</v>
      </c>
      <c r="S41" s="14" t="s">
        <v>30</v>
      </c>
      <c r="T41" s="14" t="s">
        <v>30</v>
      </c>
      <c r="U41" s="14" t="s">
        <v>30</v>
      </c>
      <c r="V41" s="14" t="s">
        <v>30</v>
      </c>
      <c r="W41" s="14" t="s">
        <v>30</v>
      </c>
      <c r="X41" s="14" t="s">
        <v>30</v>
      </c>
      <c r="Y41" s="14" t="s">
        <v>30</v>
      </c>
      <c r="Z41" s="14" t="s">
        <v>30</v>
      </c>
      <c r="AA41" s="14" t="s">
        <v>30</v>
      </c>
    </row>
    <row r="42" spans="1:27" s="31" customFormat="1" x14ac:dyDescent="0.25">
      <c r="A42" s="23" t="s">
        <v>27</v>
      </c>
      <c r="B42" s="14" t="s">
        <v>28</v>
      </c>
      <c r="C42" s="14" t="s">
        <v>28</v>
      </c>
      <c r="D42" s="14" t="s">
        <v>28</v>
      </c>
      <c r="E42" s="14" t="s">
        <v>28</v>
      </c>
      <c r="F42" s="14" t="s">
        <v>28</v>
      </c>
      <c r="G42" s="14" t="s">
        <v>28</v>
      </c>
      <c r="H42" s="14" t="s">
        <v>28</v>
      </c>
      <c r="I42" s="14" t="s">
        <v>28</v>
      </c>
      <c r="J42" s="14" t="s">
        <v>28</v>
      </c>
      <c r="K42" s="14" t="s">
        <v>28</v>
      </c>
      <c r="L42" s="14" t="s">
        <v>28</v>
      </c>
      <c r="M42" s="14" t="s">
        <v>28</v>
      </c>
      <c r="N42" s="14" t="s">
        <v>28</v>
      </c>
      <c r="O42" s="14" t="s">
        <v>28</v>
      </c>
      <c r="P42" s="14" t="s">
        <v>28</v>
      </c>
      <c r="Q42" s="14" t="s">
        <v>28</v>
      </c>
      <c r="R42" s="14" t="s">
        <v>28</v>
      </c>
      <c r="S42" s="14" t="s">
        <v>28</v>
      </c>
      <c r="T42" s="14" t="s">
        <v>28</v>
      </c>
      <c r="U42" s="14" t="s">
        <v>28</v>
      </c>
      <c r="V42" s="14" t="s">
        <v>28</v>
      </c>
      <c r="W42" s="14" t="s">
        <v>28</v>
      </c>
      <c r="X42" s="14" t="s">
        <v>28</v>
      </c>
      <c r="Y42" s="14" t="s">
        <v>28</v>
      </c>
      <c r="Z42" s="14" t="s">
        <v>28</v>
      </c>
      <c r="AA42" s="14" t="s">
        <v>28</v>
      </c>
    </row>
    <row r="43" spans="1:27" s="45" customFormat="1" x14ac:dyDescent="0.25">
      <c r="A43" s="63" t="s">
        <v>19</v>
      </c>
      <c r="B43" s="64" t="s">
        <v>22</v>
      </c>
      <c r="C43" s="64" t="s">
        <v>22</v>
      </c>
      <c r="D43" s="64" t="s">
        <v>22</v>
      </c>
      <c r="E43" s="64" t="s">
        <v>22</v>
      </c>
      <c r="F43" s="64" t="s">
        <v>22</v>
      </c>
      <c r="G43" s="64" t="s">
        <v>22</v>
      </c>
      <c r="H43" s="64" t="s">
        <v>22</v>
      </c>
      <c r="I43" s="64" t="s">
        <v>22</v>
      </c>
      <c r="J43" s="64" t="s">
        <v>22</v>
      </c>
      <c r="K43" s="64" t="s">
        <v>22</v>
      </c>
      <c r="L43" s="64" t="s">
        <v>22</v>
      </c>
      <c r="M43" s="64" t="s">
        <v>22</v>
      </c>
      <c r="N43" s="64" t="s">
        <v>22</v>
      </c>
      <c r="O43" s="64" t="s">
        <v>22</v>
      </c>
      <c r="P43" s="64" t="s">
        <v>22</v>
      </c>
      <c r="Q43" s="64" t="s">
        <v>22</v>
      </c>
      <c r="R43" s="64" t="s">
        <v>22</v>
      </c>
      <c r="S43" s="64" t="s">
        <v>22</v>
      </c>
      <c r="T43" s="64" t="s">
        <v>22</v>
      </c>
      <c r="U43" s="64" t="s">
        <v>22</v>
      </c>
      <c r="V43" s="64" t="s">
        <v>22</v>
      </c>
      <c r="W43" s="64" t="s">
        <v>22</v>
      </c>
      <c r="X43" s="64" t="s">
        <v>22</v>
      </c>
      <c r="Y43" s="64" t="s">
        <v>22</v>
      </c>
      <c r="Z43" s="64" t="s">
        <v>22</v>
      </c>
      <c r="AA43" s="64" t="s">
        <v>22</v>
      </c>
    </row>
    <row r="44" spans="1:27" s="45" customFormat="1" x14ac:dyDescent="0.25">
      <c r="A44" s="63" t="s">
        <v>18</v>
      </c>
      <c r="B44" s="64" t="s">
        <v>23</v>
      </c>
      <c r="C44" s="64" t="s">
        <v>23</v>
      </c>
      <c r="D44" s="64" t="s">
        <v>23</v>
      </c>
      <c r="E44" s="64" t="s">
        <v>23</v>
      </c>
      <c r="F44" s="64" t="s">
        <v>23</v>
      </c>
      <c r="G44" s="64" t="s">
        <v>23</v>
      </c>
      <c r="H44" s="64" t="s">
        <v>23</v>
      </c>
      <c r="I44" s="64" t="s">
        <v>144</v>
      </c>
      <c r="J44" s="64" t="s">
        <v>23</v>
      </c>
      <c r="K44" s="64" t="s">
        <v>23</v>
      </c>
      <c r="L44" s="64" t="s">
        <v>23</v>
      </c>
      <c r="M44" s="64" t="s">
        <v>23</v>
      </c>
      <c r="N44" s="64" t="s">
        <v>23</v>
      </c>
      <c r="O44" s="64" t="s">
        <v>23</v>
      </c>
      <c r="P44" s="64" t="s">
        <v>23</v>
      </c>
      <c r="Q44" s="64" t="s">
        <v>23</v>
      </c>
      <c r="R44" s="64" t="s">
        <v>23</v>
      </c>
      <c r="S44" s="64" t="s">
        <v>23</v>
      </c>
      <c r="T44" s="64" t="s">
        <v>23</v>
      </c>
      <c r="U44" s="64" t="s">
        <v>23</v>
      </c>
      <c r="V44" s="64" t="s">
        <v>23</v>
      </c>
      <c r="W44" s="64" t="s">
        <v>23</v>
      </c>
      <c r="X44" s="64" t="s">
        <v>23</v>
      </c>
      <c r="Y44" s="64" t="s">
        <v>23</v>
      </c>
      <c r="Z44" s="64" t="s">
        <v>23</v>
      </c>
      <c r="AA44" s="64" t="s">
        <v>23</v>
      </c>
    </row>
    <row r="45" spans="1:27" s="45" customFormat="1" x14ac:dyDescent="0.25">
      <c r="A45" s="63" t="s">
        <v>17</v>
      </c>
      <c r="B45" s="64" t="s">
        <v>22</v>
      </c>
      <c r="C45" s="64" t="s">
        <v>22</v>
      </c>
      <c r="D45" s="64" t="s">
        <v>22</v>
      </c>
      <c r="E45" s="64" t="s">
        <v>22</v>
      </c>
      <c r="F45" s="64" t="s">
        <v>22</v>
      </c>
      <c r="G45" s="64" t="s">
        <v>22</v>
      </c>
      <c r="H45" s="64" t="s">
        <v>22</v>
      </c>
      <c r="I45" s="64" t="s">
        <v>143</v>
      </c>
      <c r="J45" s="64" t="s">
        <v>22</v>
      </c>
      <c r="K45" s="64" t="s">
        <v>22</v>
      </c>
      <c r="L45" s="64" t="s">
        <v>22</v>
      </c>
      <c r="M45" s="64" t="s">
        <v>22</v>
      </c>
      <c r="N45" s="64" t="s">
        <v>22</v>
      </c>
      <c r="O45" s="64" t="s">
        <v>22</v>
      </c>
      <c r="P45" s="64" t="s">
        <v>22</v>
      </c>
      <c r="Q45" s="64" t="s">
        <v>22</v>
      </c>
      <c r="R45" s="64" t="s">
        <v>22</v>
      </c>
      <c r="S45" s="64" t="s">
        <v>22</v>
      </c>
      <c r="T45" s="64" t="s">
        <v>22</v>
      </c>
      <c r="U45" s="64" t="s">
        <v>22</v>
      </c>
      <c r="V45" s="64" t="s">
        <v>22</v>
      </c>
      <c r="W45" s="64" t="s">
        <v>22</v>
      </c>
      <c r="X45" s="64" t="s">
        <v>22</v>
      </c>
      <c r="Y45" s="64" t="s">
        <v>22</v>
      </c>
      <c r="Z45" s="64" t="s">
        <v>22</v>
      </c>
      <c r="AA45" s="64" t="s">
        <v>22</v>
      </c>
    </row>
    <row r="46" spans="1:27" s="45" customFormat="1" x14ac:dyDescent="0.25">
      <c r="A46" s="63" t="s">
        <v>134</v>
      </c>
      <c r="B46" s="64" t="s">
        <v>22</v>
      </c>
      <c r="C46" s="64" t="s">
        <v>22</v>
      </c>
      <c r="D46" s="64" t="s">
        <v>22</v>
      </c>
      <c r="E46" s="64" t="s">
        <v>22</v>
      </c>
      <c r="F46" s="64" t="s">
        <v>22</v>
      </c>
      <c r="G46" s="64" t="s">
        <v>22</v>
      </c>
      <c r="H46" s="64" t="s">
        <v>22</v>
      </c>
      <c r="I46" s="64" t="s">
        <v>22</v>
      </c>
      <c r="J46" s="64" t="s">
        <v>22</v>
      </c>
      <c r="K46" s="64" t="s">
        <v>22</v>
      </c>
      <c r="L46" s="64" t="s">
        <v>22</v>
      </c>
      <c r="M46" s="64" t="s">
        <v>22</v>
      </c>
      <c r="N46" s="64" t="s">
        <v>22</v>
      </c>
      <c r="O46" s="64" t="s">
        <v>22</v>
      </c>
      <c r="P46" s="64" t="s">
        <v>22</v>
      </c>
      <c r="Q46" s="64" t="s">
        <v>22</v>
      </c>
      <c r="R46" s="64" t="s">
        <v>22</v>
      </c>
      <c r="S46" s="64" t="s">
        <v>22</v>
      </c>
      <c r="T46" s="64" t="s">
        <v>22</v>
      </c>
      <c r="U46" s="64" t="s">
        <v>22</v>
      </c>
      <c r="V46" s="64" t="s">
        <v>22</v>
      </c>
      <c r="W46" s="64" t="s">
        <v>22</v>
      </c>
      <c r="X46" s="64" t="s">
        <v>22</v>
      </c>
      <c r="Y46" s="64" t="s">
        <v>22</v>
      </c>
      <c r="Z46" s="64" t="s">
        <v>22</v>
      </c>
      <c r="AA46" s="64" t="s">
        <v>22</v>
      </c>
    </row>
    <row r="47" spans="1:27" s="45" customFormat="1" x14ac:dyDescent="0.25">
      <c r="A47" s="63" t="s">
        <v>142</v>
      </c>
      <c r="B47" s="64" t="s">
        <v>22</v>
      </c>
      <c r="C47" s="64" t="s">
        <v>22</v>
      </c>
      <c r="D47" s="64" t="s">
        <v>22</v>
      </c>
      <c r="E47" s="64" t="s">
        <v>22</v>
      </c>
      <c r="F47" s="64" t="s">
        <v>22</v>
      </c>
      <c r="G47" s="64" t="s">
        <v>22</v>
      </c>
      <c r="H47" s="64" t="s">
        <v>22</v>
      </c>
      <c r="I47" s="64" t="s">
        <v>22</v>
      </c>
      <c r="J47" s="64" t="s">
        <v>22</v>
      </c>
      <c r="K47" s="64" t="s">
        <v>22</v>
      </c>
      <c r="L47" s="64" t="s">
        <v>22</v>
      </c>
      <c r="M47" s="64" t="s">
        <v>22</v>
      </c>
      <c r="N47" s="64" t="s">
        <v>22</v>
      </c>
      <c r="O47" s="64" t="s">
        <v>22</v>
      </c>
      <c r="P47" s="64" t="s">
        <v>22</v>
      </c>
      <c r="Q47" s="64" t="s">
        <v>22</v>
      </c>
      <c r="R47" s="64" t="s">
        <v>22</v>
      </c>
      <c r="S47" s="64" t="s">
        <v>22</v>
      </c>
      <c r="T47" s="64" t="s">
        <v>22</v>
      </c>
      <c r="U47" s="64" t="s">
        <v>22</v>
      </c>
      <c r="V47" s="64" t="s">
        <v>22</v>
      </c>
      <c r="W47" s="64" t="s">
        <v>22</v>
      </c>
      <c r="X47" s="64" t="s">
        <v>22</v>
      </c>
      <c r="Y47" s="64" t="s">
        <v>22</v>
      </c>
      <c r="Z47" s="64" t="s">
        <v>22</v>
      </c>
      <c r="AA47" s="64" t="s">
        <v>22</v>
      </c>
    </row>
    <row r="48" spans="1:27" s="31" customFormat="1" x14ac:dyDescent="0.25">
      <c r="A48" s="23" t="s">
        <v>15</v>
      </c>
      <c r="B48" s="9" t="s">
        <v>153</v>
      </c>
      <c r="C48" s="9" t="s">
        <v>133</v>
      </c>
      <c r="D48" s="9" t="s">
        <v>133</v>
      </c>
      <c r="E48" s="9" t="s">
        <v>133</v>
      </c>
      <c r="F48" s="9" t="s">
        <v>133</v>
      </c>
      <c r="G48" s="9" t="s">
        <v>133</v>
      </c>
      <c r="H48" s="9" t="s">
        <v>133</v>
      </c>
      <c r="I48" s="9" t="s">
        <v>133</v>
      </c>
      <c r="J48" s="9" t="s">
        <v>133</v>
      </c>
      <c r="K48" s="9" t="s">
        <v>133</v>
      </c>
      <c r="L48" s="9" t="s">
        <v>133</v>
      </c>
      <c r="M48" s="9" t="s">
        <v>133</v>
      </c>
      <c r="N48" s="9" t="s">
        <v>133</v>
      </c>
      <c r="O48" s="9" t="s">
        <v>133</v>
      </c>
      <c r="P48" s="9" t="s">
        <v>133</v>
      </c>
      <c r="Q48" s="9" t="s">
        <v>133</v>
      </c>
      <c r="R48" s="9" t="s">
        <v>133</v>
      </c>
      <c r="S48" s="9" t="s">
        <v>133</v>
      </c>
      <c r="T48" s="9" t="s">
        <v>133</v>
      </c>
      <c r="U48" s="9" t="s">
        <v>133</v>
      </c>
      <c r="V48" s="9" t="s">
        <v>133</v>
      </c>
      <c r="W48" s="9" t="s">
        <v>133</v>
      </c>
      <c r="X48" s="9" t="s">
        <v>133</v>
      </c>
      <c r="Y48" s="9" t="s">
        <v>133</v>
      </c>
      <c r="Z48" s="9" t="s">
        <v>133</v>
      </c>
      <c r="AA48" s="9" t="s">
        <v>133</v>
      </c>
    </row>
    <row r="49" spans="1:58" x14ac:dyDescent="0.25">
      <c r="A49" s="23" t="s">
        <v>145</v>
      </c>
      <c r="B49" s="9"/>
      <c r="C49" s="9" t="s">
        <v>135</v>
      </c>
      <c r="D49" s="9"/>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row>
    <row r="50" spans="1:58" x14ac:dyDescent="0.25">
      <c r="A50" s="23" t="s">
        <v>136</v>
      </c>
      <c r="B50" s="9" t="s">
        <v>138</v>
      </c>
      <c r="C50" s="9" t="s">
        <v>138</v>
      </c>
      <c r="D50" s="9"/>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row>
    <row r="51" spans="1:58" ht="16.5" customHeight="1" x14ac:dyDescent="0.25">
      <c r="A51" s="23" t="s">
        <v>139</v>
      </c>
      <c r="B51" s="9" t="s">
        <v>137</v>
      </c>
      <c r="C51" s="9" t="s">
        <v>137</v>
      </c>
      <c r="D51" s="9"/>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row>
    <row r="52" spans="1:58" ht="16.5" customHeight="1" x14ac:dyDescent="0.25">
      <c r="A52" s="23" t="s">
        <v>155</v>
      </c>
      <c r="B52" s="8">
        <v>41206</v>
      </c>
      <c r="C52" s="8">
        <v>41206</v>
      </c>
      <c r="D52" s="8">
        <v>41206</v>
      </c>
      <c r="E52" s="8">
        <v>41206</v>
      </c>
      <c r="F52" s="8">
        <v>41206</v>
      </c>
      <c r="G52" s="8">
        <v>41206</v>
      </c>
      <c r="H52" s="8">
        <v>41206</v>
      </c>
      <c r="I52" s="8">
        <v>41206</v>
      </c>
      <c r="J52" s="8">
        <v>41206</v>
      </c>
      <c r="K52" s="8">
        <v>41206</v>
      </c>
      <c r="L52" s="8">
        <v>41206</v>
      </c>
      <c r="M52" s="8">
        <v>41206</v>
      </c>
      <c r="N52" s="8">
        <v>41206</v>
      </c>
      <c r="O52" s="8">
        <v>41206</v>
      </c>
      <c r="P52" s="8">
        <v>41206</v>
      </c>
      <c r="Q52" s="8">
        <v>41206</v>
      </c>
      <c r="R52" s="8">
        <v>41206</v>
      </c>
      <c r="S52" s="8">
        <v>41206</v>
      </c>
      <c r="T52" s="8">
        <v>41206</v>
      </c>
      <c r="U52" s="8">
        <v>41206</v>
      </c>
      <c r="V52" s="8">
        <v>41206</v>
      </c>
      <c r="W52" s="8">
        <v>41206</v>
      </c>
      <c r="X52" s="8">
        <v>41206</v>
      </c>
      <c r="Y52" s="8">
        <v>41206</v>
      </c>
      <c r="Z52" s="8">
        <v>41206</v>
      </c>
      <c r="AA52" s="8">
        <v>41206</v>
      </c>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row>
    <row r="53" spans="1:58" ht="16.5" customHeight="1" x14ac:dyDescent="0.25">
      <c r="A53" s="23" t="s">
        <v>156</v>
      </c>
      <c r="B53" s="8">
        <v>41206</v>
      </c>
      <c r="C53" s="8">
        <v>41206</v>
      </c>
      <c r="D53" s="8">
        <v>41206</v>
      </c>
      <c r="E53" s="8">
        <v>41206</v>
      </c>
      <c r="F53" s="8">
        <v>41206</v>
      </c>
      <c r="G53" s="8">
        <v>41206</v>
      </c>
      <c r="H53" s="8">
        <v>41206</v>
      </c>
      <c r="I53" s="8">
        <v>41206</v>
      </c>
      <c r="J53" s="8">
        <v>41206</v>
      </c>
      <c r="K53" s="8">
        <v>41206</v>
      </c>
      <c r="L53" s="8">
        <v>41206</v>
      </c>
      <c r="M53" s="8">
        <v>41206</v>
      </c>
      <c r="N53" s="8">
        <v>41206</v>
      </c>
      <c r="O53" s="8">
        <v>41206</v>
      </c>
      <c r="P53" s="8">
        <v>41206</v>
      </c>
      <c r="Q53" s="8">
        <v>41206</v>
      </c>
      <c r="R53" s="8">
        <v>41206</v>
      </c>
      <c r="S53" s="8">
        <v>41206</v>
      </c>
      <c r="T53" s="8">
        <v>41206</v>
      </c>
      <c r="U53" s="8">
        <v>41206</v>
      </c>
      <c r="V53" s="8">
        <v>41206</v>
      </c>
      <c r="W53" s="8">
        <v>41206</v>
      </c>
      <c r="X53" s="8">
        <v>41206</v>
      </c>
      <c r="Y53" s="8">
        <v>41206</v>
      </c>
      <c r="Z53" s="8">
        <v>41206</v>
      </c>
      <c r="AA53" s="8">
        <v>41206</v>
      </c>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row>
    <row r="54" spans="1:58" ht="16.5" customHeight="1" x14ac:dyDescent="0.25">
      <c r="A54" s="23" t="s">
        <v>157</v>
      </c>
      <c r="B54" s="8" t="s">
        <v>135</v>
      </c>
      <c r="C54" s="8" t="s">
        <v>135</v>
      </c>
      <c r="D54" s="8" t="s">
        <v>135</v>
      </c>
      <c r="E54" s="8" t="s">
        <v>135</v>
      </c>
      <c r="F54" s="8" t="s">
        <v>135</v>
      </c>
      <c r="G54" s="8" t="s">
        <v>135</v>
      </c>
      <c r="H54" s="8" t="s">
        <v>135</v>
      </c>
      <c r="I54" s="8" t="s">
        <v>135</v>
      </c>
      <c r="J54" s="8" t="s">
        <v>135</v>
      </c>
      <c r="K54" s="8" t="s">
        <v>135</v>
      </c>
      <c r="L54" s="8" t="s">
        <v>135</v>
      </c>
      <c r="M54" s="8" t="s">
        <v>135</v>
      </c>
      <c r="N54" s="8" t="s">
        <v>135</v>
      </c>
      <c r="O54" s="8" t="s">
        <v>135</v>
      </c>
      <c r="P54" s="8" t="s">
        <v>135</v>
      </c>
      <c r="Q54" s="8" t="s">
        <v>135</v>
      </c>
      <c r="R54" s="8" t="s">
        <v>135</v>
      </c>
      <c r="S54" s="8" t="s">
        <v>135</v>
      </c>
      <c r="T54" s="8" t="s">
        <v>135</v>
      </c>
      <c r="U54" s="8" t="s">
        <v>135</v>
      </c>
      <c r="V54" s="8" t="s">
        <v>135</v>
      </c>
      <c r="W54" s="8" t="s">
        <v>135</v>
      </c>
      <c r="X54" s="8" t="s">
        <v>135</v>
      </c>
      <c r="Y54" s="8" t="s">
        <v>135</v>
      </c>
      <c r="Z54" s="8" t="s">
        <v>135</v>
      </c>
      <c r="AA54" s="8" t="s">
        <v>135</v>
      </c>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row>
    <row r="55" spans="1:58" x14ac:dyDescent="0.25">
      <c r="A55"/>
      <c r="B55"/>
      <c r="C55"/>
    </row>
    <row r="56" spans="1:58" s="29" customFormat="1" x14ac:dyDescent="0.25">
      <c r="A56" s="27" t="s">
        <v>50</v>
      </c>
      <c r="B56" s="27"/>
      <c r="C56" s="27"/>
      <c r="D56" s="27"/>
      <c r="E56" s="27"/>
      <c r="F56" s="27"/>
      <c r="G56" s="27"/>
      <c r="H56" s="27"/>
      <c r="I56" s="27"/>
      <c r="J56" s="28"/>
    </row>
    <row r="57" spans="1:58" s="35" customFormat="1" x14ac:dyDescent="0.25">
      <c r="A57" s="36" t="s">
        <v>33</v>
      </c>
      <c r="B57" s="35">
        <v>335.53</v>
      </c>
      <c r="C57" s="35">
        <v>238.74</v>
      </c>
      <c r="D57" s="35">
        <v>239.79</v>
      </c>
      <c r="E57" s="35">
        <v>138.94</v>
      </c>
      <c r="F57" s="35">
        <v>163.52000000000001</v>
      </c>
      <c r="G57" s="35">
        <v>402.79</v>
      </c>
      <c r="H57" s="35">
        <v>431.33</v>
      </c>
      <c r="I57" s="35">
        <v>288.8</v>
      </c>
      <c r="J57" s="35">
        <v>0.36</v>
      </c>
      <c r="K57" s="35">
        <v>427.69</v>
      </c>
      <c r="L57" s="35">
        <v>166.31</v>
      </c>
      <c r="M57" s="35">
        <v>245.21</v>
      </c>
      <c r="N57" s="35">
        <v>223.06</v>
      </c>
      <c r="O57" s="35">
        <v>245.97</v>
      </c>
      <c r="P57" s="35">
        <v>236.73</v>
      </c>
      <c r="Q57" s="35">
        <v>247.58</v>
      </c>
      <c r="R57" s="35">
        <v>238.83</v>
      </c>
      <c r="S57" s="35">
        <v>244.02</v>
      </c>
      <c r="T57" s="35">
        <v>247.58</v>
      </c>
      <c r="U57" s="35">
        <v>238.78</v>
      </c>
      <c r="V57" s="35">
        <v>245.88</v>
      </c>
      <c r="W57" s="35">
        <v>239.38</v>
      </c>
      <c r="X57" s="35">
        <v>245.53</v>
      </c>
      <c r="AA57" s="35">
        <v>238.90698</v>
      </c>
    </row>
    <row r="58" spans="1:58" s="38" customFormat="1" x14ac:dyDescent="0.25">
      <c r="A58" s="40" t="s">
        <v>25</v>
      </c>
      <c r="B58" s="37">
        <v>335.53</v>
      </c>
      <c r="C58" s="37">
        <v>252.2</v>
      </c>
      <c r="D58" s="37">
        <v>253.25</v>
      </c>
      <c r="E58" s="37">
        <v>152.4</v>
      </c>
      <c r="F58" s="37">
        <v>208.77</v>
      </c>
      <c r="G58" s="37">
        <v>416.25</v>
      </c>
      <c r="H58" s="37">
        <v>444.79</v>
      </c>
      <c r="I58" s="37">
        <v>296.83999999999997</v>
      </c>
      <c r="J58" s="38">
        <v>18.86</v>
      </c>
      <c r="K58" s="38">
        <v>441.15</v>
      </c>
      <c r="L58" s="38">
        <v>211.56</v>
      </c>
      <c r="M58" s="38">
        <v>258.67</v>
      </c>
      <c r="N58" s="38">
        <v>236.52</v>
      </c>
      <c r="O58" s="38">
        <v>259.43</v>
      </c>
      <c r="P58" s="38">
        <v>250.19</v>
      </c>
      <c r="Q58" s="38">
        <v>261.04000000000002</v>
      </c>
      <c r="R58" s="38">
        <v>252.29</v>
      </c>
      <c r="S58" s="38">
        <v>257.48</v>
      </c>
      <c r="T58" s="38">
        <v>261.04000000000002</v>
      </c>
      <c r="U58" s="38">
        <v>252.24</v>
      </c>
      <c r="V58" s="38">
        <v>259.33999999999997</v>
      </c>
      <c r="W58" s="38">
        <v>252.84</v>
      </c>
      <c r="X58" s="38">
        <v>258.99</v>
      </c>
      <c r="AA58" s="38">
        <v>252.37</v>
      </c>
    </row>
    <row r="59" spans="1:58" s="39" customFormat="1" x14ac:dyDescent="0.25">
      <c r="A59" s="40" t="s">
        <v>130</v>
      </c>
      <c r="B59" s="22">
        <v>797</v>
      </c>
      <c r="C59" s="22">
        <v>2218167</v>
      </c>
      <c r="D59" s="22">
        <v>2226093</v>
      </c>
      <c r="E59" s="22">
        <v>1300731</v>
      </c>
      <c r="F59" s="22">
        <v>1957257</v>
      </c>
      <c r="G59" s="22">
        <v>5045842</v>
      </c>
      <c r="H59" s="22">
        <v>4019925</v>
      </c>
      <c r="I59" s="22">
        <v>88322</v>
      </c>
      <c r="J59" s="39">
        <v>26154</v>
      </c>
      <c r="K59" s="39">
        <v>3977658</v>
      </c>
      <c r="L59" s="39">
        <v>2017299</v>
      </c>
      <c r="M59" s="39">
        <v>2300335</v>
      </c>
      <c r="N59" s="39">
        <v>2071785</v>
      </c>
      <c r="O59" s="39">
        <v>2266226</v>
      </c>
      <c r="P59" s="39">
        <v>2227893</v>
      </c>
      <c r="Q59" s="39">
        <v>2292137</v>
      </c>
      <c r="R59" s="39">
        <v>2204689</v>
      </c>
      <c r="S59" s="39">
        <v>2306526</v>
      </c>
      <c r="T59" s="39">
        <v>2274621</v>
      </c>
      <c r="U59" s="39">
        <v>2216006</v>
      </c>
      <c r="V59" s="39">
        <v>2305321</v>
      </c>
      <c r="W59" s="39">
        <v>2206883</v>
      </c>
      <c r="X59" s="39">
        <v>2292435</v>
      </c>
      <c r="AA59" s="39">
        <v>2223663</v>
      </c>
    </row>
    <row r="60" spans="1:58" s="38" customFormat="1" x14ac:dyDescent="0.25">
      <c r="A60" s="40" t="s">
        <v>26</v>
      </c>
      <c r="B60" s="37">
        <v>61.71</v>
      </c>
      <c r="C60" s="37">
        <v>17.059999999999999</v>
      </c>
      <c r="D60" s="37">
        <v>16.88</v>
      </c>
      <c r="E60" s="37">
        <v>11.34</v>
      </c>
      <c r="F60" s="37">
        <v>81.400000000000006</v>
      </c>
      <c r="G60" s="37">
        <v>180.24</v>
      </c>
      <c r="H60" s="37">
        <v>0</v>
      </c>
      <c r="I60" s="37">
        <v>90.75</v>
      </c>
      <c r="J60" s="38">
        <v>0.05</v>
      </c>
      <c r="K60" s="38">
        <v>4799.2</v>
      </c>
      <c r="L60" s="38">
        <v>1825.71</v>
      </c>
      <c r="M60" s="38">
        <v>0</v>
      </c>
      <c r="N60" s="38">
        <v>0</v>
      </c>
      <c r="O60" s="38">
        <v>0</v>
      </c>
      <c r="P60" s="38">
        <v>0</v>
      </c>
      <c r="Q60" s="38">
        <v>0</v>
      </c>
      <c r="R60" s="38">
        <v>0</v>
      </c>
      <c r="S60" s="38">
        <v>0</v>
      </c>
      <c r="T60" s="38">
        <v>0</v>
      </c>
      <c r="U60" s="38">
        <v>0</v>
      </c>
      <c r="V60" s="38">
        <v>0</v>
      </c>
      <c r="W60" s="38">
        <v>0</v>
      </c>
      <c r="X60" s="38">
        <v>0</v>
      </c>
      <c r="AA60" s="38">
        <v>247.76036999999999</v>
      </c>
    </row>
    <row r="61" spans="1:58" s="39" customFormat="1" x14ac:dyDescent="0.25">
      <c r="A61" s="40" t="s">
        <v>129</v>
      </c>
      <c r="B61" s="22">
        <v>101</v>
      </c>
      <c r="C61" s="22">
        <v>138984</v>
      </c>
      <c r="D61" s="22">
        <v>138574</v>
      </c>
      <c r="E61" s="22">
        <v>92794</v>
      </c>
      <c r="F61" s="22">
        <v>1000516</v>
      </c>
      <c r="G61" s="22">
        <v>1494280</v>
      </c>
      <c r="H61" s="22">
        <v>0</v>
      </c>
      <c r="I61" s="22">
        <v>43029</v>
      </c>
      <c r="J61" s="39">
        <v>2505</v>
      </c>
      <c r="K61" s="39">
        <v>44442123</v>
      </c>
      <c r="L61" s="39">
        <v>22057703</v>
      </c>
      <c r="M61" s="39">
        <v>0</v>
      </c>
      <c r="N61" s="39">
        <v>0</v>
      </c>
      <c r="O61" s="39">
        <v>0</v>
      </c>
      <c r="P61" s="39">
        <v>0</v>
      </c>
      <c r="Q61" s="39">
        <v>0</v>
      </c>
      <c r="R61" s="39">
        <v>0</v>
      </c>
      <c r="S61" s="39">
        <v>0</v>
      </c>
      <c r="T61" s="39">
        <v>0</v>
      </c>
      <c r="U61" s="39">
        <v>0</v>
      </c>
      <c r="V61" s="39">
        <v>0</v>
      </c>
      <c r="W61" s="39">
        <v>0</v>
      </c>
      <c r="X61" s="39">
        <v>0</v>
      </c>
      <c r="AA61" s="39">
        <v>2277483</v>
      </c>
    </row>
    <row r="62" spans="1:58" x14ac:dyDescent="0.25">
      <c r="B62" s="16"/>
      <c r="C62" s="16"/>
      <c r="D62" s="1"/>
      <c r="E62" s="1"/>
      <c r="F62"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C5" sqref="C5"/>
    </sheetView>
  </sheetViews>
  <sheetFormatPr defaultRowHeight="15" x14ac:dyDescent="0.25"/>
  <cols>
    <col min="1" max="1" width="87.7109375" customWidth="1"/>
    <col min="2" max="2" width="9.140625" style="44" bestFit="1" customWidth="1"/>
    <col min="3" max="3" width="16.85546875" style="44" customWidth="1"/>
    <col min="4" max="4" width="11.140625" style="44" hidden="1" customWidth="1"/>
    <col min="5" max="5" width="17.85546875" style="44" customWidth="1"/>
    <col min="6" max="6" width="12" style="44" hidden="1"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20" spans="1:5" x14ac:dyDescent="0.25">
      <c r="A20" s="67" t="s">
        <v>149</v>
      </c>
      <c r="B20" s="49"/>
      <c r="C20" s="49"/>
      <c r="D20" s="49"/>
      <c r="E20" s="49"/>
    </row>
    <row r="21" spans="1:5" x14ac:dyDescent="0.25">
      <c r="A21" s="66" t="s">
        <v>147</v>
      </c>
      <c r="C21" s="68">
        <v>1325390400</v>
      </c>
      <c r="E21" s="70">
        <f>(C21)/(60*60*24)+"1/1/1970"</f>
        <v>40909.166666666664</v>
      </c>
    </row>
    <row r="22" spans="1:5" x14ac:dyDescent="0.25">
      <c r="A22" s="66" t="s">
        <v>148</v>
      </c>
      <c r="C22" s="69">
        <v>40853.083333333336</v>
      </c>
      <c r="E22" s="71">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69069</v>
      </c>
    </row>
    <row r="2" spans="1:5" x14ac:dyDescent="0.25">
      <c r="A2" s="2" t="s">
        <v>9</v>
      </c>
      <c r="B2" s="19">
        <f>H44</f>
        <v>86112</v>
      </c>
    </row>
    <row r="3" spans="1:5" x14ac:dyDescent="0.25">
      <c r="A3" s="2" t="s">
        <v>10</v>
      </c>
      <c r="B3" s="19">
        <f>5*B1+2*B2</f>
        <v>517569</v>
      </c>
    </row>
    <row r="4" spans="1:5" x14ac:dyDescent="0.25">
      <c r="A4" s="2" t="s">
        <v>13</v>
      </c>
      <c r="B4" s="16">
        <f>I44/100000</f>
        <v>8.4228299999999994</v>
      </c>
      <c r="C4" s="1"/>
      <c r="D4" s="1"/>
      <c r="E4" s="1"/>
    </row>
    <row r="5" spans="1:5" x14ac:dyDescent="0.25">
      <c r="A5" s="2" t="s">
        <v>14</v>
      </c>
      <c r="B5" s="16">
        <f>J44/100000</f>
        <v>6.75441</v>
      </c>
      <c r="C5" s="1"/>
      <c r="D5" s="1"/>
      <c r="E5" s="1"/>
    </row>
    <row r="6" spans="1:5" x14ac:dyDescent="0.25">
      <c r="A6" s="2" t="s">
        <v>127</v>
      </c>
      <c r="B6" s="16">
        <f>(5*B4 + 2*B5)</f>
        <v>55.622969999999995</v>
      </c>
      <c r="C6" s="1"/>
      <c r="D6" s="1"/>
      <c r="E6" s="1"/>
    </row>
    <row r="7" spans="1:5" x14ac:dyDescent="0.25">
      <c r="A7" s="2" t="s">
        <v>126</v>
      </c>
      <c r="B7" s="16">
        <f>4*B6</f>
        <v>222.49187999999998</v>
      </c>
      <c r="C7" s="1"/>
      <c r="D7" s="1"/>
      <c r="E7" s="1"/>
    </row>
    <row r="8" spans="1:5" x14ac:dyDescent="0.25">
      <c r="A8" s="2" t="s">
        <v>128</v>
      </c>
      <c r="B8" s="20">
        <f>4*B3</f>
        <v>2070276</v>
      </c>
      <c r="C8" s="1"/>
      <c r="D8" s="1"/>
      <c r="E8" s="1"/>
    </row>
    <row r="9" spans="1:5" x14ac:dyDescent="0.25">
      <c r="A9" s="2" t="s">
        <v>5</v>
      </c>
      <c r="B9" s="20">
        <f>B44</f>
        <v>77</v>
      </c>
    </row>
    <row r="10" spans="1:5" x14ac:dyDescent="0.25">
      <c r="A10" s="2" t="s">
        <v>6</v>
      </c>
      <c r="B10" s="20">
        <f>C44</f>
        <v>96</v>
      </c>
    </row>
    <row r="11" spans="1:5" x14ac:dyDescent="0.25">
      <c r="A11" s="2" t="s">
        <v>98</v>
      </c>
      <c r="B11" s="20">
        <f>B$13/(4*(5*B44+2*C44))</f>
        <v>896.88041594454069</v>
      </c>
      <c r="C11" s="53"/>
    </row>
    <row r="12" spans="1:5" x14ac:dyDescent="0.25">
      <c r="A12" s="55" t="s">
        <v>125</v>
      </c>
      <c r="B12" s="56">
        <v>0</v>
      </c>
      <c r="C12" s="57"/>
    </row>
    <row r="13" spans="1:5" x14ac:dyDescent="0.25">
      <c r="A13" s="55" t="s">
        <v>32</v>
      </c>
      <c r="B13" s="56">
        <v>2070000</v>
      </c>
      <c r="C13" s="57"/>
    </row>
    <row r="14" spans="1:5" x14ac:dyDescent="0.25">
      <c r="A14" s="55" t="s">
        <v>90</v>
      </c>
      <c r="B14" s="60">
        <v>3.0000000000000001E-5</v>
      </c>
      <c r="C14" s="57"/>
    </row>
    <row r="15" spans="1:5" x14ac:dyDescent="0.25">
      <c r="A15" s="55" t="s">
        <v>20</v>
      </c>
      <c r="B15" s="58">
        <v>40909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897</v>
      </c>
      <c r="H20" s="1">
        <f>CEILING($B$11*C20,1)</f>
        <v>897</v>
      </c>
      <c r="I20" s="1">
        <f>INT(G20*D20*$B$14*100000)</f>
        <v>2691</v>
      </c>
      <c r="J20" s="1">
        <f>INT(H20*E20*$B$14*100000)</f>
        <v>2691</v>
      </c>
    </row>
    <row r="21" spans="1:10" x14ac:dyDescent="0.25">
      <c r="A21" s="17">
        <v>4.1666666666666664E-2</v>
      </c>
      <c r="B21" s="18">
        <v>1</v>
      </c>
      <c r="C21" s="3">
        <v>1</v>
      </c>
      <c r="D21" s="3">
        <v>1</v>
      </c>
      <c r="E21" s="3">
        <v>1</v>
      </c>
      <c r="F21" s="1"/>
      <c r="G21" s="1">
        <f t="shared" ref="G21:G43" si="0">CEILING($B$11*B21,1)</f>
        <v>897</v>
      </c>
      <c r="H21" s="1">
        <f t="shared" ref="H21:H43" si="1">CEILING($B$11*C21,1)</f>
        <v>897</v>
      </c>
      <c r="I21" s="1">
        <f t="shared" ref="I21:I43" si="2">INT(G21*D21*$B$14*100000)</f>
        <v>2691</v>
      </c>
      <c r="J21" s="1">
        <f t="shared" ref="J21:J43" si="3">INT(H21*E21*$B$14*100000)</f>
        <v>2691</v>
      </c>
    </row>
    <row r="22" spans="1:10" x14ac:dyDescent="0.25">
      <c r="A22" s="17">
        <v>8.3333333333333329E-2</v>
      </c>
      <c r="B22" s="18">
        <v>1</v>
      </c>
      <c r="C22" s="3">
        <v>1</v>
      </c>
      <c r="D22" s="3">
        <v>1</v>
      </c>
      <c r="E22" s="3">
        <v>1</v>
      </c>
      <c r="F22" s="1"/>
      <c r="G22" s="1">
        <f t="shared" si="0"/>
        <v>897</v>
      </c>
      <c r="H22" s="1">
        <f t="shared" si="1"/>
        <v>897</v>
      </c>
      <c r="I22" s="1">
        <f t="shared" si="2"/>
        <v>2691</v>
      </c>
      <c r="J22" s="1">
        <f t="shared" si="3"/>
        <v>2691</v>
      </c>
    </row>
    <row r="23" spans="1:10" x14ac:dyDescent="0.25">
      <c r="A23" s="17">
        <v>0.125</v>
      </c>
      <c r="B23" s="18">
        <v>1</v>
      </c>
      <c r="C23" s="3">
        <v>1</v>
      </c>
      <c r="D23" s="3">
        <v>1</v>
      </c>
      <c r="E23" s="3">
        <v>1</v>
      </c>
      <c r="F23" s="1"/>
      <c r="G23" s="1">
        <f t="shared" si="0"/>
        <v>897</v>
      </c>
      <c r="H23" s="1">
        <f t="shared" si="1"/>
        <v>897</v>
      </c>
      <c r="I23" s="1">
        <f t="shared" si="2"/>
        <v>2691</v>
      </c>
      <c r="J23" s="1">
        <f t="shared" si="3"/>
        <v>2691</v>
      </c>
    </row>
    <row r="24" spans="1:10" x14ac:dyDescent="0.25">
      <c r="A24" s="17">
        <v>0.16666666666666666</v>
      </c>
      <c r="B24" s="18">
        <v>1</v>
      </c>
      <c r="C24" s="3">
        <v>1</v>
      </c>
      <c r="D24" s="3">
        <v>1</v>
      </c>
      <c r="E24" s="3">
        <v>1</v>
      </c>
      <c r="F24" s="1"/>
      <c r="G24" s="1">
        <f t="shared" si="0"/>
        <v>897</v>
      </c>
      <c r="H24" s="1">
        <f t="shared" si="1"/>
        <v>897</v>
      </c>
      <c r="I24" s="1">
        <f t="shared" si="2"/>
        <v>2691</v>
      </c>
      <c r="J24" s="1">
        <f t="shared" si="3"/>
        <v>2691</v>
      </c>
    </row>
    <row r="25" spans="1:10" x14ac:dyDescent="0.25">
      <c r="A25" s="17">
        <v>0.20833333333333334</v>
      </c>
      <c r="B25" s="18">
        <v>3</v>
      </c>
      <c r="C25" s="3">
        <v>3</v>
      </c>
      <c r="D25" s="3">
        <v>1</v>
      </c>
      <c r="E25" s="3">
        <v>1</v>
      </c>
      <c r="F25" s="1"/>
      <c r="G25" s="1">
        <f t="shared" si="0"/>
        <v>2691</v>
      </c>
      <c r="H25" s="1">
        <f t="shared" si="1"/>
        <v>2691</v>
      </c>
      <c r="I25" s="1">
        <f t="shared" si="2"/>
        <v>8073</v>
      </c>
      <c r="J25" s="1">
        <f t="shared" si="3"/>
        <v>8073</v>
      </c>
    </row>
    <row r="26" spans="1:10" x14ac:dyDescent="0.25">
      <c r="A26" s="17">
        <v>0.25</v>
      </c>
      <c r="B26" s="18">
        <v>5</v>
      </c>
      <c r="C26" s="3">
        <v>5</v>
      </c>
      <c r="D26" s="3">
        <v>2</v>
      </c>
      <c r="E26" s="3">
        <v>2</v>
      </c>
      <c r="F26" s="1"/>
      <c r="G26" s="1">
        <f t="shared" si="0"/>
        <v>4485</v>
      </c>
      <c r="H26" s="1">
        <f t="shared" si="1"/>
        <v>4485</v>
      </c>
      <c r="I26" s="1">
        <f t="shared" si="2"/>
        <v>26910</v>
      </c>
      <c r="J26" s="1">
        <f t="shared" si="3"/>
        <v>26910</v>
      </c>
    </row>
    <row r="27" spans="1:10" x14ac:dyDescent="0.25">
      <c r="A27" s="17">
        <v>0.29166666666666669</v>
      </c>
      <c r="B27" s="18">
        <v>5</v>
      </c>
      <c r="C27" s="3">
        <v>5</v>
      </c>
      <c r="D27" s="3">
        <v>2</v>
      </c>
      <c r="E27" s="3">
        <v>2</v>
      </c>
      <c r="F27" s="1"/>
      <c r="G27" s="1">
        <f t="shared" si="0"/>
        <v>4485</v>
      </c>
      <c r="H27" s="1">
        <f t="shared" si="1"/>
        <v>4485</v>
      </c>
      <c r="I27" s="1">
        <f t="shared" si="2"/>
        <v>26910</v>
      </c>
      <c r="J27" s="1">
        <f t="shared" si="3"/>
        <v>26910</v>
      </c>
    </row>
    <row r="28" spans="1:10" x14ac:dyDescent="0.25">
      <c r="A28" s="17">
        <v>0.33333333333333331</v>
      </c>
      <c r="B28" s="18">
        <v>5</v>
      </c>
      <c r="C28" s="3">
        <v>5</v>
      </c>
      <c r="D28" s="3">
        <v>2</v>
      </c>
      <c r="E28" s="3">
        <v>2</v>
      </c>
      <c r="F28" s="1"/>
      <c r="G28" s="1">
        <f t="shared" si="0"/>
        <v>4485</v>
      </c>
      <c r="H28" s="1">
        <f t="shared" si="1"/>
        <v>4485</v>
      </c>
      <c r="I28" s="1">
        <f t="shared" si="2"/>
        <v>26910</v>
      </c>
      <c r="J28" s="1">
        <f t="shared" si="3"/>
        <v>26910</v>
      </c>
    </row>
    <row r="29" spans="1:10" x14ac:dyDescent="0.25">
      <c r="A29" s="17">
        <v>0.375</v>
      </c>
      <c r="B29" s="18">
        <v>5</v>
      </c>
      <c r="C29" s="3">
        <v>5</v>
      </c>
      <c r="D29" s="3">
        <v>2</v>
      </c>
      <c r="E29" s="3">
        <v>2</v>
      </c>
      <c r="F29" s="1"/>
      <c r="G29" s="1">
        <f t="shared" si="0"/>
        <v>4485</v>
      </c>
      <c r="H29" s="1">
        <f t="shared" si="1"/>
        <v>4485</v>
      </c>
      <c r="I29" s="1">
        <f t="shared" si="2"/>
        <v>26910</v>
      </c>
      <c r="J29" s="1">
        <f t="shared" si="3"/>
        <v>26910</v>
      </c>
    </row>
    <row r="30" spans="1:10" x14ac:dyDescent="0.25">
      <c r="A30" s="17">
        <v>0.41666666666666669</v>
      </c>
      <c r="B30" s="18">
        <v>3</v>
      </c>
      <c r="C30" s="3">
        <v>5</v>
      </c>
      <c r="D30" s="3">
        <v>2</v>
      </c>
      <c r="E30" s="3">
        <v>2</v>
      </c>
      <c r="F30" s="1"/>
      <c r="G30" s="1">
        <f t="shared" si="0"/>
        <v>2691</v>
      </c>
      <c r="H30" s="1">
        <f t="shared" si="1"/>
        <v>4485</v>
      </c>
      <c r="I30" s="1">
        <f t="shared" si="2"/>
        <v>16146</v>
      </c>
      <c r="J30" s="1">
        <f t="shared" si="3"/>
        <v>26910</v>
      </c>
    </row>
    <row r="31" spans="1:10" x14ac:dyDescent="0.25">
      <c r="A31" s="17">
        <v>0.45833333333333331</v>
      </c>
      <c r="B31" s="18">
        <v>3</v>
      </c>
      <c r="C31" s="3">
        <v>5</v>
      </c>
      <c r="D31" s="3">
        <v>2</v>
      </c>
      <c r="E31" s="3">
        <v>2</v>
      </c>
      <c r="F31" s="1"/>
      <c r="G31" s="1">
        <f t="shared" si="0"/>
        <v>2691</v>
      </c>
      <c r="H31" s="1">
        <f t="shared" si="1"/>
        <v>4485</v>
      </c>
      <c r="I31" s="1">
        <f t="shared" si="2"/>
        <v>16146</v>
      </c>
      <c r="J31" s="1">
        <f t="shared" si="3"/>
        <v>26910</v>
      </c>
    </row>
    <row r="32" spans="1:10" x14ac:dyDescent="0.25">
      <c r="A32" s="17">
        <v>0.5</v>
      </c>
      <c r="B32" s="18">
        <v>3</v>
      </c>
      <c r="C32" s="3">
        <v>5</v>
      </c>
      <c r="D32" s="3">
        <v>2</v>
      </c>
      <c r="E32" s="3">
        <v>2</v>
      </c>
      <c r="F32" s="1"/>
      <c r="G32" s="1">
        <f t="shared" si="0"/>
        <v>2691</v>
      </c>
      <c r="H32" s="1">
        <f t="shared" si="1"/>
        <v>4485</v>
      </c>
      <c r="I32" s="1">
        <f t="shared" si="2"/>
        <v>16146</v>
      </c>
      <c r="J32" s="1">
        <f t="shared" si="3"/>
        <v>26910</v>
      </c>
    </row>
    <row r="33" spans="1:10" x14ac:dyDescent="0.25">
      <c r="A33" s="17">
        <v>0.54166666666666663</v>
      </c>
      <c r="B33" s="18">
        <v>3</v>
      </c>
      <c r="C33" s="3">
        <v>5</v>
      </c>
      <c r="D33" s="3">
        <v>2</v>
      </c>
      <c r="E33" s="3">
        <v>2</v>
      </c>
      <c r="F33" s="1"/>
      <c r="G33" s="1">
        <f t="shared" si="0"/>
        <v>2691</v>
      </c>
      <c r="H33" s="1">
        <f t="shared" si="1"/>
        <v>4485</v>
      </c>
      <c r="I33" s="1">
        <f t="shared" si="2"/>
        <v>16146</v>
      </c>
      <c r="J33" s="1">
        <f t="shared" si="3"/>
        <v>26910</v>
      </c>
    </row>
    <row r="34" spans="1:10" x14ac:dyDescent="0.25">
      <c r="A34" s="17">
        <v>0.58333333333333337</v>
      </c>
      <c r="B34" s="18">
        <v>3</v>
      </c>
      <c r="C34" s="3">
        <v>5</v>
      </c>
      <c r="D34" s="3">
        <v>4</v>
      </c>
      <c r="E34" s="3">
        <v>3</v>
      </c>
      <c r="F34" s="1"/>
      <c r="G34" s="1">
        <f t="shared" si="0"/>
        <v>2691</v>
      </c>
      <c r="H34" s="1">
        <f t="shared" si="1"/>
        <v>4485</v>
      </c>
      <c r="I34" s="1">
        <f t="shared" si="2"/>
        <v>32292</v>
      </c>
      <c r="J34" s="1">
        <f t="shared" si="3"/>
        <v>40365</v>
      </c>
    </row>
    <row r="35" spans="1:10" x14ac:dyDescent="0.25">
      <c r="A35" s="17">
        <v>0.625</v>
      </c>
      <c r="B35" s="18">
        <v>3</v>
      </c>
      <c r="C35" s="3">
        <v>5</v>
      </c>
      <c r="D35" s="3">
        <v>6</v>
      </c>
      <c r="E35" s="3">
        <v>4</v>
      </c>
      <c r="F35" s="1"/>
      <c r="G35" s="1">
        <f t="shared" si="0"/>
        <v>2691</v>
      </c>
      <c r="H35" s="1">
        <f t="shared" si="1"/>
        <v>4485</v>
      </c>
      <c r="I35" s="1">
        <f t="shared" si="2"/>
        <v>48438</v>
      </c>
      <c r="J35" s="1">
        <f t="shared" si="3"/>
        <v>53820</v>
      </c>
    </row>
    <row r="36" spans="1:10" x14ac:dyDescent="0.25">
      <c r="A36" s="17">
        <v>0.66666666666666663</v>
      </c>
      <c r="B36" s="18">
        <v>3</v>
      </c>
      <c r="C36" s="3">
        <v>5</v>
      </c>
      <c r="D36" s="3">
        <v>8</v>
      </c>
      <c r="E36" s="3">
        <v>5</v>
      </c>
      <c r="F36" s="1"/>
      <c r="G36" s="1">
        <f t="shared" si="0"/>
        <v>2691</v>
      </c>
      <c r="H36" s="1">
        <f t="shared" si="1"/>
        <v>4485</v>
      </c>
      <c r="I36" s="1">
        <f t="shared" si="2"/>
        <v>64584</v>
      </c>
      <c r="J36" s="1">
        <f t="shared" si="3"/>
        <v>67275</v>
      </c>
    </row>
    <row r="37" spans="1:10" x14ac:dyDescent="0.25">
      <c r="A37" s="17">
        <v>0.70833333333333337</v>
      </c>
      <c r="B37" s="18">
        <v>4</v>
      </c>
      <c r="C37" s="3">
        <v>5</v>
      </c>
      <c r="D37" s="3">
        <v>10</v>
      </c>
      <c r="E37" s="3">
        <v>5</v>
      </c>
      <c r="F37" s="1"/>
      <c r="G37" s="1">
        <f t="shared" si="0"/>
        <v>3588</v>
      </c>
      <c r="H37" s="1">
        <f t="shared" si="1"/>
        <v>4485</v>
      </c>
      <c r="I37" s="1">
        <f t="shared" si="2"/>
        <v>107640</v>
      </c>
      <c r="J37" s="1">
        <f t="shared" si="3"/>
        <v>67275</v>
      </c>
    </row>
    <row r="38" spans="1:10" x14ac:dyDescent="0.25">
      <c r="A38" s="17">
        <v>0.75</v>
      </c>
      <c r="B38" s="18">
        <v>5</v>
      </c>
      <c r="C38" s="3">
        <v>5</v>
      </c>
      <c r="D38" s="3">
        <v>10</v>
      </c>
      <c r="E38" s="3">
        <v>5</v>
      </c>
      <c r="F38" s="1"/>
      <c r="G38" s="1">
        <f t="shared" si="0"/>
        <v>4485</v>
      </c>
      <c r="H38" s="1">
        <f t="shared" si="1"/>
        <v>4485</v>
      </c>
      <c r="I38" s="1">
        <f t="shared" si="2"/>
        <v>134550</v>
      </c>
      <c r="J38" s="1">
        <f t="shared" si="3"/>
        <v>67275</v>
      </c>
    </row>
    <row r="39" spans="1:10" x14ac:dyDescent="0.25">
      <c r="A39" s="17">
        <v>0.79166666666666663</v>
      </c>
      <c r="B39" s="18">
        <v>5</v>
      </c>
      <c r="C39" s="3">
        <v>5</v>
      </c>
      <c r="D39" s="3">
        <v>8</v>
      </c>
      <c r="E39" s="3">
        <v>4</v>
      </c>
      <c r="F39" s="1"/>
      <c r="G39" s="1">
        <f t="shared" si="0"/>
        <v>4485</v>
      </c>
      <c r="H39" s="1">
        <f t="shared" si="1"/>
        <v>4485</v>
      </c>
      <c r="I39" s="1">
        <f t="shared" si="2"/>
        <v>107640</v>
      </c>
      <c r="J39" s="1">
        <f t="shared" si="3"/>
        <v>53820</v>
      </c>
    </row>
    <row r="40" spans="1:10" x14ac:dyDescent="0.25">
      <c r="A40" s="17">
        <v>0.83333333333333337</v>
      </c>
      <c r="B40" s="18">
        <v>5</v>
      </c>
      <c r="C40" s="3">
        <v>5</v>
      </c>
      <c r="D40" s="3">
        <v>6</v>
      </c>
      <c r="E40" s="3">
        <v>3</v>
      </c>
      <c r="F40" s="1"/>
      <c r="G40" s="1">
        <f t="shared" si="0"/>
        <v>4485</v>
      </c>
      <c r="H40" s="1">
        <f t="shared" si="1"/>
        <v>4485</v>
      </c>
      <c r="I40" s="1">
        <f t="shared" si="2"/>
        <v>80730</v>
      </c>
      <c r="J40" s="1">
        <f t="shared" si="3"/>
        <v>40365</v>
      </c>
    </row>
    <row r="41" spans="1:10" x14ac:dyDescent="0.25">
      <c r="A41" s="17">
        <v>0.875</v>
      </c>
      <c r="B41" s="18">
        <v>5</v>
      </c>
      <c r="C41" s="3">
        <v>5</v>
      </c>
      <c r="D41" s="3">
        <v>4</v>
      </c>
      <c r="E41" s="3">
        <v>2</v>
      </c>
      <c r="F41" s="1"/>
      <c r="G41" s="1">
        <f t="shared" si="0"/>
        <v>4485</v>
      </c>
      <c r="H41" s="1">
        <f t="shared" si="1"/>
        <v>4485</v>
      </c>
      <c r="I41" s="1">
        <f t="shared" si="2"/>
        <v>53820</v>
      </c>
      <c r="J41" s="1">
        <f t="shared" si="3"/>
        <v>26910</v>
      </c>
    </row>
    <row r="42" spans="1:10" x14ac:dyDescent="0.25">
      <c r="A42" s="17">
        <v>0.91666666666666663</v>
      </c>
      <c r="B42" s="18">
        <v>3</v>
      </c>
      <c r="C42" s="3">
        <v>5</v>
      </c>
      <c r="D42" s="3">
        <v>2</v>
      </c>
      <c r="E42" s="3">
        <v>1</v>
      </c>
      <c r="F42" s="1"/>
      <c r="G42" s="1">
        <f t="shared" si="0"/>
        <v>2691</v>
      </c>
      <c r="H42" s="1">
        <f t="shared" si="1"/>
        <v>4485</v>
      </c>
      <c r="I42" s="1">
        <f t="shared" si="2"/>
        <v>16146</v>
      </c>
      <c r="J42" s="1">
        <f t="shared" si="3"/>
        <v>13455</v>
      </c>
    </row>
    <row r="43" spans="1:10" x14ac:dyDescent="0.25">
      <c r="A43" s="17">
        <v>0.95833333333333337</v>
      </c>
      <c r="B43" s="18">
        <v>1</v>
      </c>
      <c r="C43" s="3">
        <v>3</v>
      </c>
      <c r="D43" s="3">
        <v>1</v>
      </c>
      <c r="E43" s="3">
        <v>1</v>
      </c>
      <c r="F43" s="1"/>
      <c r="G43" s="1">
        <f t="shared" si="0"/>
        <v>897</v>
      </c>
      <c r="H43" s="1">
        <f t="shared" si="1"/>
        <v>2691</v>
      </c>
      <c r="I43" s="1">
        <f t="shared" si="2"/>
        <v>2691</v>
      </c>
      <c r="J43" s="1">
        <f t="shared" si="3"/>
        <v>8073</v>
      </c>
    </row>
    <row r="44" spans="1:10" x14ac:dyDescent="0.25">
      <c r="A44" s="2" t="s">
        <v>2</v>
      </c>
      <c r="B44" s="19">
        <f>SUM(B20:B43)</f>
        <v>77</v>
      </c>
      <c r="C44" s="19">
        <f>SUM(C20:C43)</f>
        <v>96</v>
      </c>
      <c r="D44" s="19">
        <f t="shared" ref="D44:E44" si="4">SUM(D20:D43)</f>
        <v>81</v>
      </c>
      <c r="E44" s="19">
        <f t="shared" si="4"/>
        <v>55</v>
      </c>
      <c r="G44" s="1">
        <f t="shared" ref="G44:H44" si="5">SUM(G20:G43)</f>
        <v>69069</v>
      </c>
      <c r="H44" s="1">
        <f t="shared" si="5"/>
        <v>86112</v>
      </c>
      <c r="I44" s="1">
        <f>SUM(I20:I43)</f>
        <v>842283</v>
      </c>
      <c r="J44" s="1">
        <f>SUM(J20:J43)</f>
        <v>675441</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rpasquarelli</cp:lastModifiedBy>
  <dcterms:created xsi:type="dcterms:W3CDTF">2006-09-16T00:00:00Z</dcterms:created>
  <dcterms:modified xsi:type="dcterms:W3CDTF">2013-01-22T18:47:23Z</dcterms:modified>
</cp:coreProperties>
</file>