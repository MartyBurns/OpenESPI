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functionGroups builtInGroupCount="17"/>
  <calcPr calcId="145621"/>
  <fileRecoveryPr repairLoad="1"/>
</workbook>
</file>

<file path=xl/calcChain.xml><?xml version="1.0" encoding="utf-8"?>
<calcChain xmlns="http://schemas.openxmlformats.org/spreadsheetml/2006/main">
  <c r="D15" i="1" l="1"/>
  <c r="D16" i="1"/>
  <c r="D14" i="1"/>
  <c r="D4" i="1"/>
  <c r="F23" i="1" l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23" i="1"/>
  <c r="B5" i="1" l="1"/>
  <c r="D8" i="1"/>
  <c r="I12" i="1"/>
  <c r="I13" i="1"/>
  <c r="B7" i="1"/>
  <c r="D7" i="1"/>
  <c r="D3" i="1"/>
  <c r="A1" i="1" l="1"/>
  <c r="C47" i="1"/>
  <c r="C20" i="1" s="1"/>
  <c r="B47" i="1"/>
  <c r="C18" i="1" s="1"/>
  <c r="H27" i="1" l="1"/>
  <c r="H26" i="1"/>
  <c r="G32" i="1"/>
  <c r="G24" i="1"/>
  <c r="G45" i="1"/>
  <c r="G40" i="1"/>
  <c r="G37" i="1"/>
  <c r="H34" i="1"/>
  <c r="G29" i="1"/>
  <c r="H39" i="1"/>
  <c r="H42" i="1"/>
  <c r="H47" i="1"/>
  <c r="C19" i="1"/>
  <c r="G30" i="1"/>
  <c r="G38" i="1"/>
  <c r="G46" i="1"/>
  <c r="H41" i="1"/>
  <c r="H33" i="1"/>
  <c r="H25" i="1"/>
  <c r="G23" i="1"/>
  <c r="G31" i="1"/>
  <c r="G39" i="1"/>
  <c r="H40" i="1"/>
  <c r="H32" i="1"/>
  <c r="H24" i="1"/>
  <c r="G26" i="1"/>
  <c r="G42" i="1"/>
  <c r="H37" i="1"/>
  <c r="H29" i="1"/>
  <c r="G27" i="1"/>
  <c r="G35" i="1"/>
  <c r="G43" i="1"/>
  <c r="H44" i="1"/>
  <c r="H36" i="1"/>
  <c r="H28" i="1"/>
  <c r="H31" i="1"/>
  <c r="H23" i="1"/>
  <c r="G25" i="1"/>
  <c r="G33" i="1"/>
  <c r="G41" i="1"/>
  <c r="H46" i="1"/>
  <c r="H38" i="1"/>
  <c r="H30" i="1"/>
  <c r="G34" i="1"/>
  <c r="H45" i="1"/>
  <c r="G28" i="1"/>
  <c r="G36" i="1"/>
  <c r="G44" i="1"/>
  <c r="H43" i="1"/>
  <c r="H35" i="1"/>
  <c r="C11" i="1" l="1"/>
  <c r="G47" i="1"/>
  <c r="C10" i="1"/>
  <c r="C12" i="1" s="1"/>
  <c r="C14" i="1" l="1"/>
  <c r="C15" i="1" s="1"/>
  <c r="C16" i="1" s="1"/>
</calcChain>
</file>

<file path=xl/sharedStrings.xml><?xml version="1.0" encoding="utf-8"?>
<sst xmlns="http://schemas.openxmlformats.org/spreadsheetml/2006/main" count="33" uniqueCount="28">
  <si>
    <t>Weekday</t>
  </si>
  <si>
    <t>Weekend</t>
  </si>
  <si>
    <t>Total Monthly KHW</t>
  </si>
  <si>
    <t>Weighting</t>
  </si>
  <si>
    <t>Time</t>
  </si>
  <si>
    <t>KWH</t>
  </si>
  <si>
    <t>Total</t>
  </si>
  <si>
    <t>Weekday weighting</t>
  </si>
  <si>
    <t>Weekend Weighting</t>
  </si>
  <si>
    <t>Daily KWH</t>
  </si>
  <si>
    <t>KWH per weight</t>
  </si>
  <si>
    <t>Cost Per KWH</t>
  </si>
  <si>
    <t>Utility Bill - Flat rate power Charges, Hourly readings</t>
  </si>
  <si>
    <t>Cost</t>
  </si>
  <si>
    <t>Cost Energy</t>
  </si>
  <si>
    <t>Taxes</t>
  </si>
  <si>
    <t>Weekend KWH</t>
  </si>
  <si>
    <t>Week Consumption KWh</t>
  </si>
  <si>
    <t>Start of Billing Period</t>
  </si>
  <si>
    <t>Duration of Billing Period</t>
  </si>
  <si>
    <t>End of Billing Period</t>
  </si>
  <si>
    <t>Universal Time including DST and TZOffset</t>
  </si>
  <si>
    <t>UTC to date-time</t>
  </si>
  <si>
    <t>Date-time to UTC</t>
  </si>
  <si>
    <t>PC Time Seconds to datetime</t>
  </si>
  <si>
    <t>End of Simulation</t>
  </si>
  <si>
    <t>Interval Block Duration</t>
  </si>
  <si>
    <t xml:space="preserve">Interval Duration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</si>
</sst>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_);[Red]\(&quot;$&quot;#,##0.00\)"/>
    <numFmt numFmtId="164" formatCode="[$-F400]h:mm:ss\ AM/PM"/>
    <numFmt numFmtId="165" formatCode="m/d/yy\ h:mm;@"/>
  </numFmts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</cellStyleXfs>
  <cellXfs count="20">
    <xf numFmtId="0" fontId="0" fillId="0" borderId="0" xfId="0"/>
    <xf numFmtId="164" fontId="0" fillId="0" borderId="0" xfId="0" applyNumberFormat="1"/>
    <xf numFmtId="0" fontId="0" fillId="0" borderId="0" xfId="0" quotePrefix="1"/>
    <xf numFmtId="2" fontId="0" fillId="0" borderId="0" xfId="0" applyNumberFormat="1"/>
    <xf numFmtId="1" fontId="0" fillId="0" borderId="0" xfId="0" applyNumberFormat="1"/>
    <xf numFmtId="8" fontId="0" fillId="0" borderId="0" xfId="0" applyNumberFormat="1"/>
    <xf numFmtId="22" fontId="0" fillId="0" borderId="0" xfId="0" applyNumberFormat="1"/>
    <xf numFmtId="0" fontId="0" fillId="0" borderId="0" xfId="0" applyNumberFormat="1"/>
    <xf numFmtId="165" fontId="0" fillId="0" borderId="0" xfId="0" applyNumberFormat="1"/>
    <xf numFmtId="0" fontId="0" fillId="0" borderId="2" xfId="0" applyBorder="1"/>
    <xf numFmtId="0" fontId="0" fillId="0" borderId="3" xfId="0" applyBorder="1"/>
    <xf numFmtId="165" fontId="2" fillId="3" borderId="1" xfId="2" applyNumberFormat="1"/>
    <xf numFmtId="1" fontId="1" fillId="2" borderId="4" xfId="1" applyNumberFormat="1" applyBorder="1"/>
    <xf numFmtId="0" fontId="0" fillId="0" borderId="5" xfId="0" applyBorder="1"/>
    <xf numFmtId="0" fontId="0" fillId="0" borderId="0" xfId="0" applyBorder="1"/>
    <xf numFmtId="0" fontId="2" fillId="3" borderId="6" xfId="2" applyBorder="1"/>
    <xf numFmtId="165" fontId="1" fillId="2" borderId="7" xfId="1" applyNumberFormat="1" applyBorder="1"/>
    <xf numFmtId="0" fontId="0" fillId="0" borderId="8" xfId="0" applyBorder="1"/>
    <xf numFmtId="0" fontId="0" fillId="0" borderId="9" xfId="0" applyBorder="1"/>
    <xf numFmtId="0" fontId="0" fillId="0" borderId="10" xfId="0" applyBorder="1"/>
  </cellXfs>
  <cellStyles count="3">
    <cellStyle name="Good" xfId="1" builtinId="26"/>
    <cellStyle name="Input" xfId="2" builtinId="20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47"/>
  <sheetViews>
    <sheetView tabSelected="1" workbookViewId="0">
      <selection activeCell="D15" sqref="D15"/>
    </sheetView>
  </sheetViews>
  <sheetFormatPr defaultRowHeight="15" x14ac:dyDescent="0.25"/>
  <cols>
    <col min="1" max="1" width="25.5703125" customWidth="1"/>
    <col min="2" max="2" width="12.85546875" bestFit="1" customWidth="1"/>
    <col min="3" max="3" width="29.5703125" customWidth="1"/>
    <col min="4" max="4" width="14.42578125" bestFit="1" customWidth="1"/>
    <col min="7" max="7" width="11.85546875" bestFit="1" customWidth="1"/>
    <col min="8" max="8" width="12.28515625" bestFit="1" customWidth="1"/>
    <col min="9" max="9" width="16.140625" bestFit="1" customWidth="1"/>
  </cols>
  <sheetData>
    <row r="1" spans="1:9" x14ac:dyDescent="0.25">
      <c r="A1" s="6">
        <f ca="1">NOW()</f>
        <v>40818.65474189815</v>
      </c>
    </row>
    <row r="2" spans="1:9" x14ac:dyDescent="0.25">
      <c r="A2" t="s">
        <v>12</v>
      </c>
      <c r="D2" t="s">
        <v>21</v>
      </c>
    </row>
    <row r="3" spans="1:9" x14ac:dyDescent="0.25">
      <c r="A3" t="s">
        <v>18</v>
      </c>
      <c r="B3" s="8">
        <v>40787</v>
      </c>
      <c r="D3" s="4">
        <f>((B3-"1/1/1970")*60*60*24)</f>
        <v>1314835200</v>
      </c>
    </row>
    <row r="4" spans="1:9" x14ac:dyDescent="0.25">
      <c r="A4" t="s">
        <v>19</v>
      </c>
      <c r="B4" s="7">
        <v>30</v>
      </c>
      <c r="D4" s="4">
        <f>D7-D3</f>
        <v>2592000</v>
      </c>
    </row>
    <row r="5" spans="1:9" x14ac:dyDescent="0.25">
      <c r="A5" t="s">
        <v>26</v>
      </c>
      <c r="B5" s="7">
        <f>24*3600</f>
        <v>86400</v>
      </c>
      <c r="D5" s="4"/>
    </row>
    <row r="6" spans="1:9" x14ac:dyDescent="0.25">
      <c r="A6" t="s">
        <v>27</v>
      </c>
      <c r="B6" s="7">
        <v>3600</v>
      </c>
      <c r="D6" s="4"/>
    </row>
    <row r="7" spans="1:9" x14ac:dyDescent="0.25">
      <c r="A7" t="s">
        <v>20</v>
      </c>
      <c r="B7" s="8">
        <f>B3+B4</f>
        <v>40817</v>
      </c>
      <c r="D7" s="4">
        <f>((B7-"1/1/1970")*60*60*24)</f>
        <v>1317427200</v>
      </c>
    </row>
    <row r="8" spans="1:9" x14ac:dyDescent="0.25">
      <c r="A8" t="s">
        <v>25</v>
      </c>
      <c r="B8" s="8">
        <v>40818.999988425923</v>
      </c>
      <c r="D8" s="4">
        <f>((B8-"1/1/1970")*60*60*24)</f>
        <v>1317599998.9999998</v>
      </c>
    </row>
    <row r="9" spans="1:9" x14ac:dyDescent="0.25">
      <c r="A9" t="s">
        <v>2</v>
      </c>
      <c r="C9">
        <v>2070</v>
      </c>
    </row>
    <row r="10" spans="1:9" ht="15.75" thickBot="1" x14ac:dyDescent="0.3">
      <c r="A10" t="s">
        <v>9</v>
      </c>
      <c r="C10">
        <f>E47</f>
        <v>70</v>
      </c>
    </row>
    <row r="11" spans="1:9" ht="15.75" thickBot="1" x14ac:dyDescent="0.3">
      <c r="A11" t="s">
        <v>16</v>
      </c>
      <c r="C11">
        <f>F47</f>
        <v>87</v>
      </c>
      <c r="F11" s="17" t="s">
        <v>24</v>
      </c>
      <c r="G11" s="18"/>
      <c r="H11" s="18"/>
      <c r="I11" s="19"/>
    </row>
    <row r="12" spans="1:9" x14ac:dyDescent="0.25">
      <c r="A12" t="s">
        <v>17</v>
      </c>
      <c r="C12">
        <f>5*C10+2*C11</f>
        <v>524</v>
      </c>
      <c r="F12" s="13" t="s">
        <v>22</v>
      </c>
      <c r="G12" s="14"/>
      <c r="H12" s="15">
        <v>1317427200</v>
      </c>
      <c r="I12" s="16">
        <f>(H12)/(60*60*24)+"1/1/1970"</f>
        <v>40817</v>
      </c>
    </row>
    <row r="13" spans="1:9" ht="15.75" thickBot="1" x14ac:dyDescent="0.3">
      <c r="A13" s="2" t="s">
        <v>11</v>
      </c>
      <c r="C13" s="5">
        <v>0.11842</v>
      </c>
      <c r="F13" s="9" t="s">
        <v>23</v>
      </c>
      <c r="G13" s="10"/>
      <c r="H13" s="11">
        <v>40817</v>
      </c>
      <c r="I13" s="12">
        <f>((H13-"1/1/1970")*60*60*24)</f>
        <v>1317427200</v>
      </c>
    </row>
    <row r="14" spans="1:9" x14ac:dyDescent="0.25">
      <c r="A14" s="2" t="s">
        <v>14</v>
      </c>
      <c r="C14" s="5">
        <f>4*(5*G47+2*H47)/100000</f>
        <v>248.20831999999999</v>
      </c>
      <c r="D14" s="4">
        <f>C14*100000</f>
        <v>24820832</v>
      </c>
    </row>
    <row r="15" spans="1:9" x14ac:dyDescent="0.25">
      <c r="A15" s="2" t="s">
        <v>15</v>
      </c>
      <c r="C15" s="5">
        <f>6%*C14</f>
        <v>14.892499199999998</v>
      </c>
      <c r="D15" s="4">
        <f t="shared" ref="D15:D16" si="0">C15*100000</f>
        <v>1489249.9199999997</v>
      </c>
    </row>
    <row r="16" spans="1:9" x14ac:dyDescent="0.25">
      <c r="A16" t="s">
        <v>6</v>
      </c>
      <c r="C16" s="5">
        <f>SUM(C14:C15)</f>
        <v>263.10081919999999</v>
      </c>
      <c r="D16" s="4">
        <f t="shared" si="0"/>
        <v>26310081.919999998</v>
      </c>
    </row>
    <row r="17" spans="1:8" x14ac:dyDescent="0.25">
      <c r="C17" s="5"/>
    </row>
    <row r="18" spans="1:8" x14ac:dyDescent="0.25">
      <c r="A18" t="s">
        <v>7</v>
      </c>
      <c r="C18">
        <f>B47</f>
        <v>77</v>
      </c>
    </row>
    <row r="19" spans="1:8" x14ac:dyDescent="0.25">
      <c r="A19" t="s">
        <v>8</v>
      </c>
      <c r="C19">
        <f>C47</f>
        <v>96</v>
      </c>
    </row>
    <row r="20" spans="1:8" x14ac:dyDescent="0.25">
      <c r="A20" t="s">
        <v>10</v>
      </c>
      <c r="C20">
        <f>C9/(4*(5*B47+2*C47))</f>
        <v>0.89688041594454071</v>
      </c>
    </row>
    <row r="21" spans="1:8" x14ac:dyDescent="0.25">
      <c r="B21" t="s">
        <v>3</v>
      </c>
      <c r="E21" t="s">
        <v>5</v>
      </c>
      <c r="G21" t="s">
        <v>13</v>
      </c>
    </row>
    <row r="22" spans="1:8" x14ac:dyDescent="0.25">
      <c r="A22" t="s">
        <v>4</v>
      </c>
      <c r="B22" t="s">
        <v>0</v>
      </c>
      <c r="C22" t="s">
        <v>1</v>
      </c>
      <c r="E22" t="s">
        <v>0</v>
      </c>
      <c r="F22" t="s">
        <v>1</v>
      </c>
      <c r="G22" t="s">
        <v>0</v>
      </c>
      <c r="H22" t="s">
        <v>1</v>
      </c>
    </row>
    <row r="23" spans="1:8" x14ac:dyDescent="0.25">
      <c r="A23" s="1">
        <v>0</v>
      </c>
      <c r="B23" s="4">
        <v>1</v>
      </c>
      <c r="C23" s="4">
        <v>1</v>
      </c>
      <c r="D23" s="4"/>
      <c r="E23" s="3">
        <f>CEILING($C$20*B23,1)</f>
        <v>1</v>
      </c>
      <c r="F23" s="3">
        <f>CEILING($C$20*C23,1)</f>
        <v>1</v>
      </c>
      <c r="G23" s="4">
        <f>INT(E23*$C$13*100000)</f>
        <v>11842</v>
      </c>
      <c r="H23" s="4">
        <f>INT(F23*$C$13*100000)</f>
        <v>11842</v>
      </c>
    </row>
    <row r="24" spans="1:8" x14ac:dyDescent="0.25">
      <c r="A24" s="1">
        <v>4.1666666666666699E-2</v>
      </c>
      <c r="B24" s="4">
        <v>1</v>
      </c>
      <c r="C24" s="4">
        <v>1</v>
      </c>
      <c r="D24" s="4"/>
      <c r="E24" s="3">
        <f t="shared" ref="E24:F47" si="1">CEILING($C$20*B24,1)</f>
        <v>1</v>
      </c>
      <c r="F24" s="3">
        <f t="shared" si="1"/>
        <v>1</v>
      </c>
      <c r="G24" s="4">
        <f t="shared" ref="G24:H47" si="2">INT(E24*$C$13*100000)</f>
        <v>11842</v>
      </c>
      <c r="H24" s="4">
        <f t="shared" si="2"/>
        <v>11842</v>
      </c>
    </row>
    <row r="25" spans="1:8" x14ac:dyDescent="0.25">
      <c r="A25" s="1">
        <v>8.3333333333333301E-2</v>
      </c>
      <c r="B25" s="4">
        <v>1</v>
      </c>
      <c r="C25" s="4">
        <v>1</v>
      </c>
      <c r="D25" s="4"/>
      <c r="E25" s="3">
        <f t="shared" si="1"/>
        <v>1</v>
      </c>
      <c r="F25" s="3">
        <f t="shared" si="1"/>
        <v>1</v>
      </c>
      <c r="G25" s="4">
        <f t="shared" si="2"/>
        <v>11842</v>
      </c>
      <c r="H25" s="4">
        <f t="shared" si="2"/>
        <v>11842</v>
      </c>
    </row>
    <row r="26" spans="1:8" x14ac:dyDescent="0.25">
      <c r="A26" s="1">
        <v>0.125</v>
      </c>
      <c r="B26" s="4">
        <v>1</v>
      </c>
      <c r="C26" s="4">
        <v>1</v>
      </c>
      <c r="D26" s="4"/>
      <c r="E26" s="3">
        <f t="shared" si="1"/>
        <v>1</v>
      </c>
      <c r="F26" s="3">
        <f t="shared" si="1"/>
        <v>1</v>
      </c>
      <c r="G26" s="4">
        <f t="shared" si="2"/>
        <v>11842</v>
      </c>
      <c r="H26" s="4">
        <f t="shared" si="2"/>
        <v>11842</v>
      </c>
    </row>
    <row r="27" spans="1:8" x14ac:dyDescent="0.25">
      <c r="A27" s="1">
        <v>0.16666666666666699</v>
      </c>
      <c r="B27" s="4">
        <v>1</v>
      </c>
      <c r="C27" s="4">
        <v>1</v>
      </c>
      <c r="D27" s="4"/>
      <c r="E27" s="3">
        <f t="shared" si="1"/>
        <v>1</v>
      </c>
      <c r="F27" s="3">
        <f t="shared" si="1"/>
        <v>1</v>
      </c>
      <c r="G27" s="4">
        <f t="shared" si="2"/>
        <v>11842</v>
      </c>
      <c r="H27" s="4">
        <f t="shared" si="2"/>
        <v>11842</v>
      </c>
    </row>
    <row r="28" spans="1:8" x14ac:dyDescent="0.25">
      <c r="A28" s="1">
        <v>0.20833333333333301</v>
      </c>
      <c r="B28" s="4">
        <v>3</v>
      </c>
      <c r="C28" s="4">
        <v>3</v>
      </c>
      <c r="D28" s="4"/>
      <c r="E28" s="3">
        <f t="shared" si="1"/>
        <v>3</v>
      </c>
      <c r="F28" s="3">
        <f t="shared" si="1"/>
        <v>3</v>
      </c>
      <c r="G28" s="4">
        <f t="shared" si="2"/>
        <v>35526</v>
      </c>
      <c r="H28" s="4">
        <f t="shared" si="2"/>
        <v>35526</v>
      </c>
    </row>
    <row r="29" spans="1:8" x14ac:dyDescent="0.25">
      <c r="A29" s="1">
        <v>0.25</v>
      </c>
      <c r="B29" s="4">
        <v>5</v>
      </c>
      <c r="C29" s="4">
        <v>5</v>
      </c>
      <c r="D29" s="4"/>
      <c r="E29" s="3">
        <f t="shared" si="1"/>
        <v>5</v>
      </c>
      <c r="F29" s="3">
        <f t="shared" si="1"/>
        <v>5</v>
      </c>
      <c r="G29" s="4">
        <f t="shared" si="2"/>
        <v>59210</v>
      </c>
      <c r="H29" s="4">
        <f t="shared" si="2"/>
        <v>59210</v>
      </c>
    </row>
    <row r="30" spans="1:8" x14ac:dyDescent="0.25">
      <c r="A30" s="1">
        <v>0.29166666666666702</v>
      </c>
      <c r="B30" s="4">
        <v>5</v>
      </c>
      <c r="C30" s="4">
        <v>5</v>
      </c>
      <c r="D30" s="4"/>
      <c r="E30" s="3">
        <f t="shared" si="1"/>
        <v>5</v>
      </c>
      <c r="F30" s="3">
        <f t="shared" si="1"/>
        <v>5</v>
      </c>
      <c r="G30" s="4">
        <f t="shared" si="2"/>
        <v>59210</v>
      </c>
      <c r="H30" s="4">
        <f t="shared" si="2"/>
        <v>59210</v>
      </c>
    </row>
    <row r="31" spans="1:8" x14ac:dyDescent="0.25">
      <c r="A31" s="1">
        <v>0.33333333333333298</v>
      </c>
      <c r="B31" s="4">
        <v>5</v>
      </c>
      <c r="C31" s="4">
        <v>5</v>
      </c>
      <c r="D31" s="4"/>
      <c r="E31" s="3">
        <f t="shared" si="1"/>
        <v>5</v>
      </c>
      <c r="F31" s="3">
        <f t="shared" si="1"/>
        <v>5</v>
      </c>
      <c r="G31" s="4">
        <f t="shared" si="2"/>
        <v>59210</v>
      </c>
      <c r="H31" s="4">
        <f t="shared" si="2"/>
        <v>59210</v>
      </c>
    </row>
    <row r="32" spans="1:8" x14ac:dyDescent="0.25">
      <c r="A32" s="1">
        <v>0.375</v>
      </c>
      <c r="B32" s="4">
        <v>5</v>
      </c>
      <c r="C32" s="4">
        <v>5</v>
      </c>
      <c r="D32" s="4"/>
      <c r="E32" s="3">
        <f t="shared" si="1"/>
        <v>5</v>
      </c>
      <c r="F32" s="3">
        <f t="shared" si="1"/>
        <v>5</v>
      </c>
      <c r="G32" s="4">
        <f t="shared" si="2"/>
        <v>59210</v>
      </c>
      <c r="H32" s="4">
        <f t="shared" si="2"/>
        <v>59210</v>
      </c>
    </row>
    <row r="33" spans="1:8" x14ac:dyDescent="0.25">
      <c r="A33" s="1">
        <v>0.41666666666666702</v>
      </c>
      <c r="B33" s="4">
        <v>3</v>
      </c>
      <c r="C33" s="4">
        <v>5</v>
      </c>
      <c r="D33" s="4"/>
      <c r="E33" s="3">
        <f t="shared" si="1"/>
        <v>3</v>
      </c>
      <c r="F33" s="3">
        <f t="shared" si="1"/>
        <v>5</v>
      </c>
      <c r="G33" s="4">
        <f t="shared" si="2"/>
        <v>35526</v>
      </c>
      <c r="H33" s="4">
        <f t="shared" si="2"/>
        <v>59210</v>
      </c>
    </row>
    <row r="34" spans="1:8" x14ac:dyDescent="0.25">
      <c r="A34" s="1">
        <v>0.45833333333333298</v>
      </c>
      <c r="B34" s="4">
        <v>3</v>
      </c>
      <c r="C34" s="4">
        <v>5</v>
      </c>
      <c r="D34" s="4"/>
      <c r="E34" s="3">
        <f t="shared" si="1"/>
        <v>3</v>
      </c>
      <c r="F34" s="3">
        <f t="shared" si="1"/>
        <v>5</v>
      </c>
      <c r="G34" s="4">
        <f t="shared" si="2"/>
        <v>35526</v>
      </c>
      <c r="H34" s="4">
        <f t="shared" si="2"/>
        <v>59210</v>
      </c>
    </row>
    <row r="35" spans="1:8" x14ac:dyDescent="0.25">
      <c r="A35" s="1">
        <v>0.5</v>
      </c>
      <c r="B35" s="4">
        <v>3</v>
      </c>
      <c r="C35" s="4">
        <v>5</v>
      </c>
      <c r="D35" s="4"/>
      <c r="E35" s="3">
        <f t="shared" si="1"/>
        <v>3</v>
      </c>
      <c r="F35" s="3">
        <f t="shared" si="1"/>
        <v>5</v>
      </c>
      <c r="G35" s="4">
        <f t="shared" si="2"/>
        <v>35526</v>
      </c>
      <c r="H35" s="4">
        <f t="shared" si="2"/>
        <v>59210</v>
      </c>
    </row>
    <row r="36" spans="1:8" x14ac:dyDescent="0.25">
      <c r="A36" s="1">
        <v>0.54166666666666696</v>
      </c>
      <c r="B36" s="4">
        <v>3</v>
      </c>
      <c r="C36" s="4">
        <v>5</v>
      </c>
      <c r="D36" s="4"/>
      <c r="E36" s="3">
        <f t="shared" si="1"/>
        <v>3</v>
      </c>
      <c r="F36" s="3">
        <f t="shared" si="1"/>
        <v>5</v>
      </c>
      <c r="G36" s="4">
        <f t="shared" si="2"/>
        <v>35526</v>
      </c>
      <c r="H36" s="4">
        <f t="shared" si="2"/>
        <v>59210</v>
      </c>
    </row>
    <row r="37" spans="1:8" x14ac:dyDescent="0.25">
      <c r="A37" s="1">
        <v>0.58333333333333304</v>
      </c>
      <c r="B37" s="4">
        <v>3</v>
      </c>
      <c r="C37" s="4">
        <v>5</v>
      </c>
      <c r="D37" s="4"/>
      <c r="E37" s="3">
        <f t="shared" si="1"/>
        <v>3</v>
      </c>
      <c r="F37" s="3">
        <f t="shared" si="1"/>
        <v>5</v>
      </c>
      <c r="G37" s="4">
        <f t="shared" si="2"/>
        <v>35526</v>
      </c>
      <c r="H37" s="4">
        <f t="shared" si="2"/>
        <v>59210</v>
      </c>
    </row>
    <row r="38" spans="1:8" x14ac:dyDescent="0.25">
      <c r="A38" s="1">
        <v>0.625</v>
      </c>
      <c r="B38" s="4">
        <v>3</v>
      </c>
      <c r="C38" s="4">
        <v>5</v>
      </c>
      <c r="D38" s="4"/>
      <c r="E38" s="3">
        <f t="shared" si="1"/>
        <v>3</v>
      </c>
      <c r="F38" s="3">
        <f t="shared" si="1"/>
        <v>5</v>
      </c>
      <c r="G38" s="4">
        <f t="shared" si="2"/>
        <v>35526</v>
      </c>
      <c r="H38" s="4">
        <f t="shared" si="2"/>
        <v>59210</v>
      </c>
    </row>
    <row r="39" spans="1:8" x14ac:dyDescent="0.25">
      <c r="A39" s="1">
        <v>0.66666666666666696</v>
      </c>
      <c r="B39" s="4">
        <v>3</v>
      </c>
      <c r="C39" s="4">
        <v>5</v>
      </c>
      <c r="D39" s="4"/>
      <c r="E39" s="3">
        <f t="shared" si="1"/>
        <v>3</v>
      </c>
      <c r="F39" s="3">
        <f t="shared" si="1"/>
        <v>5</v>
      </c>
      <c r="G39" s="4">
        <f t="shared" si="2"/>
        <v>35526</v>
      </c>
      <c r="H39" s="4">
        <f t="shared" si="2"/>
        <v>59210</v>
      </c>
    </row>
    <row r="40" spans="1:8" x14ac:dyDescent="0.25">
      <c r="A40" s="1">
        <v>0.70833333333333304</v>
      </c>
      <c r="B40" s="4">
        <v>4</v>
      </c>
      <c r="C40" s="4">
        <v>5</v>
      </c>
      <c r="D40" s="4"/>
      <c r="E40" s="3">
        <f t="shared" si="1"/>
        <v>4</v>
      </c>
      <c r="F40" s="3">
        <f t="shared" si="1"/>
        <v>5</v>
      </c>
      <c r="G40" s="4">
        <f t="shared" si="2"/>
        <v>47368</v>
      </c>
      <c r="H40" s="4">
        <f t="shared" si="2"/>
        <v>59210</v>
      </c>
    </row>
    <row r="41" spans="1:8" x14ac:dyDescent="0.25">
      <c r="A41" s="1">
        <v>0.75</v>
      </c>
      <c r="B41" s="4">
        <v>5</v>
      </c>
      <c r="C41" s="4">
        <v>5</v>
      </c>
      <c r="D41" s="4"/>
      <c r="E41" s="3">
        <f t="shared" si="1"/>
        <v>5</v>
      </c>
      <c r="F41" s="3">
        <f t="shared" si="1"/>
        <v>5</v>
      </c>
      <c r="G41" s="4">
        <f t="shared" si="2"/>
        <v>59210</v>
      </c>
      <c r="H41" s="4">
        <f t="shared" si="2"/>
        <v>59210</v>
      </c>
    </row>
    <row r="42" spans="1:8" x14ac:dyDescent="0.25">
      <c r="A42" s="1">
        <v>0.79166666666666696</v>
      </c>
      <c r="B42" s="4">
        <v>5</v>
      </c>
      <c r="C42" s="4">
        <v>5</v>
      </c>
      <c r="D42" s="4"/>
      <c r="E42" s="3">
        <f t="shared" si="1"/>
        <v>5</v>
      </c>
      <c r="F42" s="3">
        <f t="shared" si="1"/>
        <v>5</v>
      </c>
      <c r="G42" s="4">
        <f t="shared" si="2"/>
        <v>59210</v>
      </c>
      <c r="H42" s="4">
        <f t="shared" si="2"/>
        <v>59210</v>
      </c>
    </row>
    <row r="43" spans="1:8" x14ac:dyDescent="0.25">
      <c r="A43" s="1">
        <v>0.83333333333333404</v>
      </c>
      <c r="B43" s="4">
        <v>5</v>
      </c>
      <c r="C43" s="4">
        <v>5</v>
      </c>
      <c r="D43" s="4"/>
      <c r="E43" s="3">
        <f t="shared" si="1"/>
        <v>5</v>
      </c>
      <c r="F43" s="3">
        <f t="shared" si="1"/>
        <v>5</v>
      </c>
      <c r="G43" s="4">
        <f t="shared" si="2"/>
        <v>59210</v>
      </c>
      <c r="H43" s="4">
        <f t="shared" si="2"/>
        <v>59210</v>
      </c>
    </row>
    <row r="44" spans="1:8" x14ac:dyDescent="0.25">
      <c r="A44" s="1">
        <v>0.875000000000001</v>
      </c>
      <c r="B44" s="4">
        <v>5</v>
      </c>
      <c r="C44" s="4">
        <v>5</v>
      </c>
      <c r="D44" s="4"/>
      <c r="E44" s="3">
        <f t="shared" si="1"/>
        <v>5</v>
      </c>
      <c r="F44" s="3">
        <f t="shared" si="1"/>
        <v>5</v>
      </c>
      <c r="G44" s="4">
        <f t="shared" si="2"/>
        <v>59210</v>
      </c>
      <c r="H44" s="4">
        <f t="shared" si="2"/>
        <v>59210</v>
      </c>
    </row>
    <row r="45" spans="1:8" x14ac:dyDescent="0.25">
      <c r="A45" s="1">
        <v>0.91666666666666696</v>
      </c>
      <c r="B45" s="4">
        <v>3</v>
      </c>
      <c r="C45" s="4">
        <v>5</v>
      </c>
      <c r="D45" s="4"/>
      <c r="E45" s="3">
        <f t="shared" si="1"/>
        <v>3</v>
      </c>
      <c r="F45" s="3">
        <f t="shared" si="1"/>
        <v>5</v>
      </c>
      <c r="G45" s="4">
        <f t="shared" si="2"/>
        <v>35526</v>
      </c>
      <c r="H45" s="4">
        <f t="shared" si="2"/>
        <v>59210</v>
      </c>
    </row>
    <row r="46" spans="1:8" x14ac:dyDescent="0.25">
      <c r="A46" s="1">
        <v>0.95833333333333404</v>
      </c>
      <c r="B46" s="4">
        <v>1</v>
      </c>
      <c r="C46" s="4">
        <v>3</v>
      </c>
      <c r="D46" s="4"/>
      <c r="E46" s="3">
        <f t="shared" si="1"/>
        <v>1</v>
      </c>
      <c r="F46" s="3">
        <f t="shared" si="1"/>
        <v>3</v>
      </c>
      <c r="G46" s="4">
        <f t="shared" si="2"/>
        <v>11842</v>
      </c>
      <c r="H46" s="4">
        <f t="shared" si="2"/>
        <v>35526</v>
      </c>
    </row>
    <row r="47" spans="1:8" x14ac:dyDescent="0.25">
      <c r="A47" t="s">
        <v>6</v>
      </c>
      <c r="B47">
        <f>SUM(B23:B46)</f>
        <v>77</v>
      </c>
      <c r="C47">
        <f>SUM(C23:C46)</f>
        <v>96</v>
      </c>
      <c r="E47" s="3">
        <f t="shared" si="1"/>
        <v>70</v>
      </c>
      <c r="F47" s="3">
        <f t="shared" si="1"/>
        <v>87</v>
      </c>
      <c r="G47" s="4">
        <f t="shared" si="2"/>
        <v>828940</v>
      </c>
      <c r="H47" s="4">
        <f t="shared" si="2"/>
        <v>1030254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2011-10-02T19:44:55Z</dcterms:modified>
</cp:coreProperties>
</file>